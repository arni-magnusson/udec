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fd32d2ded66750/Tesis Doctorado UdeC/Capitulo 2 - Fisiología térmica/"/>
    </mc:Choice>
  </mc:AlternateContent>
  <xr:revisionPtr revIDLastSave="7" documentId="8_{B7BDC878-0061-4C7A-9A4B-139F76EAD576}" xr6:coauthVersionLast="47" xr6:coauthVersionMax="47" xr10:uidLastSave="{BE07BECC-5BC6-4F16-8941-D4ED4BA7DFA6}"/>
  <bookViews>
    <workbookView xWindow="-108" yWindow="-108" windowWidth="23256" windowHeight="13896" xr2:uid="{522A1DD4-0C7B-4B85-92A2-BEE4E75BECDE}"/>
  </bookViews>
  <sheets>
    <sheet name="Hoja1" sheetId="1" r:id="rId1"/>
  </sheets>
  <definedNames>
    <definedName name="_xlnm._FilterDatabase" localSheetId="0" hidden="1">Hoja1!$A$1:$N$48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O37" i="1"/>
  <c r="O3" i="1"/>
  <c r="O2" i="1"/>
</calcChain>
</file>

<file path=xl/sharedStrings.xml><?xml version="1.0" encoding="utf-8"?>
<sst xmlns="http://schemas.openxmlformats.org/spreadsheetml/2006/main" count="172" uniqueCount="21">
  <si>
    <t>ID</t>
  </si>
  <si>
    <t>CTmin</t>
  </si>
  <si>
    <t>CTmax</t>
  </si>
  <si>
    <t>Tvol_min</t>
  </si>
  <si>
    <t>Tvol_max</t>
  </si>
  <si>
    <t>Tpref</t>
  </si>
  <si>
    <t>macho</t>
  </si>
  <si>
    <t>hembra</t>
  </si>
  <si>
    <t>Paucarcancha</t>
  </si>
  <si>
    <t>Pikillacta</t>
  </si>
  <si>
    <t>3800-4000</t>
  </si>
  <si>
    <t>NA</t>
  </si>
  <si>
    <t>Pacaymayu</t>
  </si>
  <si>
    <t>svl</t>
  </si>
  <si>
    <t>Tail</t>
  </si>
  <si>
    <t>Body mass</t>
  </si>
  <si>
    <t>Locality</t>
  </si>
  <si>
    <t>Sex</t>
  </si>
  <si>
    <t>Altitude</t>
  </si>
  <si>
    <t>Range_Ctmax-Ctmin</t>
  </si>
  <si>
    <t>Range_tvol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</si>
</sst>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5DD5-0700-4077-94CD-2C2B870A138D}">
  <dimension ref="A1:O48"/>
  <sheetViews>
    <sheetView tabSelected="1" zoomScale="115" zoomScaleNormal="115" workbookViewId="0">
      <pane ySplit="1" topLeftCell="A29" activePane="bottomLeft" state="frozen"/>
      <selection pane="bottomLeft" activeCell="I35" sqref="I35"/>
    </sheetView>
  </sheetViews>
  <sheetFormatPr baseColWidth="10" defaultRowHeight="14.4" x14ac:dyDescent="0.3"/>
  <cols>
    <col min="2" max="2" width="13.88671875" customWidth="1"/>
    <col min="3" max="3" width="11.5546875" style="2"/>
    <col min="5" max="5" width="11.5546875" style="2"/>
    <col min="14" max="14" width="11.5546875" style="2"/>
  </cols>
  <sheetData>
    <row r="1" spans="1:15" ht="28.8" x14ac:dyDescent="0.3">
      <c r="A1" s="1" t="s">
        <v>0</v>
      </c>
      <c r="B1" s="1" t="s">
        <v>16</v>
      </c>
      <c r="C1" s="1" t="s">
        <v>18</v>
      </c>
      <c r="D1" s="1" t="s">
        <v>17</v>
      </c>
      <c r="E1" s="1" t="s">
        <v>15</v>
      </c>
      <c r="F1" s="1" t="s">
        <v>13</v>
      </c>
      <c r="G1" s="1" t="s">
        <v>14</v>
      </c>
      <c r="H1" s="1" t="s">
        <v>5</v>
      </c>
      <c r="I1" s="1" t="s">
        <v>3</v>
      </c>
      <c r="J1" s="1" t="s">
        <v>1</v>
      </c>
      <c r="K1" s="1" t="s">
        <v>4</v>
      </c>
      <c r="L1" s="1" t="s">
        <v>2</v>
      </c>
      <c r="M1" s="1" t="s">
        <v>19</v>
      </c>
      <c r="N1" s="1" t="s">
        <v>20</v>
      </c>
    </row>
    <row r="2" spans="1:15" x14ac:dyDescent="0.3">
      <c r="A2" s="2">
        <v>1</v>
      </c>
      <c r="B2" s="2" t="s">
        <v>12</v>
      </c>
      <c r="C2" s="3" t="s">
        <v>10</v>
      </c>
      <c r="D2" t="s">
        <v>6</v>
      </c>
      <c r="E2" s="3">
        <v>2.9429999999999996</v>
      </c>
      <c r="F2" s="3">
        <v>50.8</v>
      </c>
      <c r="G2" s="3" t="s">
        <v>11</v>
      </c>
      <c r="H2" s="2">
        <v>23.94</v>
      </c>
      <c r="I2" s="2">
        <v>12.11</v>
      </c>
      <c r="J2" s="2">
        <v>5.0519999999999996</v>
      </c>
      <c r="K2" s="2">
        <v>28.25</v>
      </c>
      <c r="L2" s="2">
        <v>35.53</v>
      </c>
      <c r="M2" s="3">
        <v>30.478000000000002</v>
      </c>
      <c r="N2" s="2">
        <v>16.14</v>
      </c>
      <c r="O2">
        <f>_xlfn.QUARTILE.EXC(H2:H25,1)</f>
        <v>22.747499999999999</v>
      </c>
    </row>
    <row r="3" spans="1:15" x14ac:dyDescent="0.3">
      <c r="A3" s="2">
        <v>2</v>
      </c>
      <c r="B3" s="2" t="s">
        <v>12</v>
      </c>
      <c r="C3" s="3" t="s">
        <v>10</v>
      </c>
      <c r="D3" t="s">
        <v>6</v>
      </c>
      <c r="E3" s="3">
        <v>2.7690000000000001</v>
      </c>
      <c r="F3" s="3">
        <v>49.9</v>
      </c>
      <c r="G3" s="3" t="s">
        <v>11</v>
      </c>
      <c r="H3" s="2">
        <v>22.89</v>
      </c>
      <c r="I3" s="2">
        <v>10.9</v>
      </c>
      <c r="J3" s="2">
        <v>5.3339999999999996</v>
      </c>
      <c r="K3" s="2">
        <v>28.64</v>
      </c>
      <c r="L3" s="2">
        <v>35.47</v>
      </c>
      <c r="M3" s="3">
        <v>30.135999999999999</v>
      </c>
      <c r="N3" s="2">
        <v>17.740000000000002</v>
      </c>
      <c r="O3">
        <f>_xlfn.QUARTILE.EXC(H2:H25,3)</f>
        <v>24.36</v>
      </c>
    </row>
    <row r="4" spans="1:15" x14ac:dyDescent="0.3">
      <c r="A4" s="2">
        <v>3</v>
      </c>
      <c r="B4" s="2" t="s">
        <v>12</v>
      </c>
      <c r="C4" s="3" t="s">
        <v>10</v>
      </c>
      <c r="D4" t="s">
        <v>7</v>
      </c>
      <c r="E4" s="3">
        <v>2.0839999999999996</v>
      </c>
      <c r="F4" s="3">
        <v>48.3</v>
      </c>
      <c r="G4" s="3" t="s">
        <v>11</v>
      </c>
      <c r="H4" s="2">
        <v>24.2</v>
      </c>
      <c r="I4" s="2">
        <v>11.63</v>
      </c>
      <c r="J4" s="2">
        <v>5.49</v>
      </c>
      <c r="K4" s="2">
        <v>30.01</v>
      </c>
      <c r="L4" s="2">
        <v>35.72</v>
      </c>
      <c r="M4" s="3">
        <v>30.229999999999997</v>
      </c>
      <c r="N4" s="2">
        <v>18.380000000000003</v>
      </c>
    </row>
    <row r="5" spans="1:15" x14ac:dyDescent="0.3">
      <c r="A5" s="2">
        <v>4</v>
      </c>
      <c r="B5" s="2" t="s">
        <v>12</v>
      </c>
      <c r="C5" s="3" t="s">
        <v>10</v>
      </c>
      <c r="D5" t="s">
        <v>7</v>
      </c>
      <c r="E5" s="3">
        <v>2.1609999999999996</v>
      </c>
      <c r="F5" s="3">
        <v>45.1</v>
      </c>
      <c r="G5" s="3" t="s">
        <v>11</v>
      </c>
      <c r="H5" s="2">
        <v>24.33</v>
      </c>
      <c r="I5" s="2">
        <v>9.9600000000000009</v>
      </c>
      <c r="J5" s="2">
        <v>7.0869999999999997</v>
      </c>
      <c r="K5" s="2">
        <v>28.9</v>
      </c>
      <c r="L5" s="2">
        <v>33.619999999999997</v>
      </c>
      <c r="M5" s="3">
        <v>26.532999999999998</v>
      </c>
      <c r="N5" s="2">
        <v>16.939999999999998</v>
      </c>
    </row>
    <row r="6" spans="1:15" x14ac:dyDescent="0.3">
      <c r="A6" s="2">
        <v>5</v>
      </c>
      <c r="B6" s="2" t="s">
        <v>12</v>
      </c>
      <c r="C6" s="3" t="s">
        <v>10</v>
      </c>
      <c r="D6" t="s">
        <v>6</v>
      </c>
      <c r="E6" s="3">
        <v>2.6669999999999998</v>
      </c>
      <c r="F6" s="3">
        <v>50.2</v>
      </c>
      <c r="G6" s="3" t="s">
        <v>11</v>
      </c>
      <c r="H6" s="2">
        <v>22.93</v>
      </c>
      <c r="I6" s="2">
        <v>9.1340000000000003</v>
      </c>
      <c r="J6" s="2">
        <v>5.7450000000000001</v>
      </c>
      <c r="K6" s="2">
        <v>29.7</v>
      </c>
      <c r="L6" s="2">
        <v>35.94</v>
      </c>
      <c r="M6" s="3">
        <v>30.194999999999997</v>
      </c>
      <c r="N6" s="2">
        <v>20.565999999999999</v>
      </c>
    </row>
    <row r="7" spans="1:15" x14ac:dyDescent="0.3">
      <c r="A7" s="2">
        <v>6</v>
      </c>
      <c r="B7" s="2" t="s">
        <v>12</v>
      </c>
      <c r="C7" s="3" t="s">
        <v>10</v>
      </c>
      <c r="D7" t="s">
        <v>7</v>
      </c>
      <c r="E7" s="3">
        <v>2.3669999999999991</v>
      </c>
      <c r="F7" s="3">
        <v>52.6</v>
      </c>
      <c r="G7" s="3" t="s">
        <v>11</v>
      </c>
      <c r="H7" s="2">
        <v>24.37</v>
      </c>
      <c r="I7" s="2">
        <v>11.94</v>
      </c>
      <c r="J7" s="2">
        <v>6.5</v>
      </c>
      <c r="K7" s="2">
        <v>30.3</v>
      </c>
      <c r="L7" s="2">
        <v>33.85</v>
      </c>
      <c r="M7" s="3">
        <v>27.35</v>
      </c>
      <c r="N7" s="2">
        <v>18.36</v>
      </c>
    </row>
    <row r="8" spans="1:15" x14ac:dyDescent="0.3">
      <c r="A8" s="2">
        <v>7</v>
      </c>
      <c r="B8" s="2" t="s">
        <v>12</v>
      </c>
      <c r="C8" s="3" t="s">
        <v>10</v>
      </c>
      <c r="D8" t="s">
        <v>7</v>
      </c>
      <c r="E8" s="2">
        <v>2.4929999999999986</v>
      </c>
      <c r="F8" s="2">
        <v>49.5</v>
      </c>
      <c r="G8" s="3" t="s">
        <v>11</v>
      </c>
      <c r="H8" s="2">
        <v>23.72</v>
      </c>
      <c r="I8" s="2">
        <v>10.69</v>
      </c>
      <c r="J8" s="2">
        <v>5.93</v>
      </c>
      <c r="K8" s="2">
        <v>29.55</v>
      </c>
      <c r="L8" s="2">
        <v>34.97</v>
      </c>
      <c r="M8" s="3">
        <v>29.04</v>
      </c>
      <c r="N8" s="2">
        <v>18.86</v>
      </c>
    </row>
    <row r="9" spans="1:15" x14ac:dyDescent="0.3">
      <c r="A9" s="2">
        <v>8</v>
      </c>
      <c r="B9" s="2" t="s">
        <v>12</v>
      </c>
      <c r="C9" s="3" t="s">
        <v>10</v>
      </c>
      <c r="D9" t="s">
        <v>6</v>
      </c>
      <c r="E9" s="2">
        <v>3.202</v>
      </c>
      <c r="F9" s="2">
        <v>57.9</v>
      </c>
      <c r="G9" s="3" t="s">
        <v>11</v>
      </c>
      <c r="H9" s="2">
        <v>24.25</v>
      </c>
      <c r="I9" s="3" t="s">
        <v>11</v>
      </c>
      <c r="J9" s="2">
        <v>6.4880000000000004</v>
      </c>
      <c r="K9" s="2">
        <v>32.380000000000003</v>
      </c>
      <c r="L9" s="2">
        <v>35.11</v>
      </c>
      <c r="M9" s="3">
        <v>28.622</v>
      </c>
      <c r="N9" s="3" t="s">
        <v>11</v>
      </c>
    </row>
    <row r="10" spans="1:15" x14ac:dyDescent="0.3">
      <c r="A10" s="2">
        <v>9</v>
      </c>
      <c r="B10" s="2" t="s">
        <v>12</v>
      </c>
      <c r="C10" s="3" t="s">
        <v>10</v>
      </c>
      <c r="D10" t="s">
        <v>7</v>
      </c>
      <c r="E10" s="2">
        <v>2.41</v>
      </c>
      <c r="F10" s="2">
        <v>44.2</v>
      </c>
      <c r="G10" s="3" t="s">
        <v>11</v>
      </c>
      <c r="H10" s="2">
        <v>24.9</v>
      </c>
      <c r="I10" s="2">
        <v>10.96</v>
      </c>
      <c r="J10" s="2">
        <v>6.6310000000000002</v>
      </c>
      <c r="K10" s="2">
        <v>31.3</v>
      </c>
      <c r="L10" s="2">
        <v>35.36</v>
      </c>
      <c r="M10" s="3">
        <v>28.728999999999999</v>
      </c>
      <c r="N10" s="2">
        <v>20.34</v>
      </c>
    </row>
    <row r="11" spans="1:15" x14ac:dyDescent="0.3">
      <c r="A11" s="2">
        <v>10</v>
      </c>
      <c r="B11" s="2" t="s">
        <v>12</v>
      </c>
      <c r="C11" s="3" t="s">
        <v>10</v>
      </c>
      <c r="D11" t="s">
        <v>7</v>
      </c>
      <c r="E11" s="2">
        <v>1.8789999999999996</v>
      </c>
      <c r="F11" s="2">
        <v>42.3</v>
      </c>
      <c r="G11" s="3" t="s">
        <v>11</v>
      </c>
      <c r="H11" s="2">
        <v>23.41</v>
      </c>
      <c r="I11" s="2">
        <v>10.340999999999999</v>
      </c>
      <c r="J11" s="2">
        <v>5.9569999999999999</v>
      </c>
      <c r="K11" s="2">
        <v>30.55</v>
      </c>
      <c r="L11" s="2">
        <v>35.04</v>
      </c>
      <c r="M11" s="3">
        <v>29.082999999999998</v>
      </c>
      <c r="N11" s="2">
        <v>20.209000000000003</v>
      </c>
    </row>
    <row r="12" spans="1:15" x14ac:dyDescent="0.3">
      <c r="A12" s="2">
        <v>11</v>
      </c>
      <c r="B12" s="2" t="s">
        <v>12</v>
      </c>
      <c r="C12" s="3" t="s">
        <v>10</v>
      </c>
      <c r="D12" t="s">
        <v>7</v>
      </c>
      <c r="E12" s="2">
        <v>2.4700000000000006</v>
      </c>
      <c r="F12" s="2">
        <v>50.4</v>
      </c>
      <c r="G12" s="3" t="s">
        <v>11</v>
      </c>
      <c r="H12" s="2">
        <v>22.7</v>
      </c>
      <c r="I12" s="3" t="s">
        <v>11</v>
      </c>
      <c r="J12" s="2">
        <v>5.93</v>
      </c>
      <c r="K12" s="2">
        <v>29.08</v>
      </c>
      <c r="L12" s="2">
        <v>35.119999999999997</v>
      </c>
      <c r="M12" s="3">
        <v>29.189999999999998</v>
      </c>
      <c r="N12" s="3" t="s">
        <v>11</v>
      </c>
    </row>
    <row r="13" spans="1:15" x14ac:dyDescent="0.3">
      <c r="A13" s="2">
        <v>12</v>
      </c>
      <c r="B13" s="2" t="s">
        <v>12</v>
      </c>
      <c r="C13" s="3" t="s">
        <v>10</v>
      </c>
      <c r="D13" t="s">
        <v>6</v>
      </c>
      <c r="E13" s="2">
        <v>2.21</v>
      </c>
      <c r="F13" s="2">
        <v>45.9</v>
      </c>
      <c r="G13" s="3" t="s">
        <v>11</v>
      </c>
      <c r="H13" s="2">
        <v>23.01</v>
      </c>
      <c r="I13" s="2">
        <v>9.4779999999999998</v>
      </c>
      <c r="J13" s="2">
        <v>6.4329999999999998</v>
      </c>
      <c r="K13" s="2">
        <v>27.9</v>
      </c>
      <c r="L13" s="2">
        <v>34.82</v>
      </c>
      <c r="M13" s="3">
        <v>28.387</v>
      </c>
      <c r="N13" s="2">
        <v>18.421999999999997</v>
      </c>
    </row>
    <row r="14" spans="1:15" x14ac:dyDescent="0.3">
      <c r="A14" s="2">
        <v>13</v>
      </c>
      <c r="B14" s="2" t="s">
        <v>12</v>
      </c>
      <c r="C14" s="3" t="s">
        <v>10</v>
      </c>
      <c r="D14" t="s">
        <v>6</v>
      </c>
      <c r="E14" s="2">
        <v>5.4779999999999998</v>
      </c>
      <c r="F14" s="2">
        <v>59.3</v>
      </c>
      <c r="G14" s="2">
        <v>93.3</v>
      </c>
      <c r="H14" s="2">
        <v>22.38</v>
      </c>
      <c r="I14" s="2">
        <v>12.78</v>
      </c>
      <c r="J14" s="2">
        <v>5.0209999999999999</v>
      </c>
      <c r="K14" s="2">
        <v>28.99</v>
      </c>
      <c r="L14" s="2">
        <v>34.44</v>
      </c>
      <c r="M14" s="3">
        <v>29.418999999999997</v>
      </c>
      <c r="N14" s="2">
        <v>16.21</v>
      </c>
    </row>
    <row r="15" spans="1:15" x14ac:dyDescent="0.3">
      <c r="A15" s="2">
        <v>14</v>
      </c>
      <c r="B15" s="2" t="s">
        <v>12</v>
      </c>
      <c r="C15" s="3" t="s">
        <v>10</v>
      </c>
      <c r="D15" t="s">
        <v>7</v>
      </c>
      <c r="E15" s="2">
        <v>3.1120000000000001</v>
      </c>
      <c r="F15" s="2">
        <v>53.5</v>
      </c>
      <c r="G15" s="2">
        <v>38.5</v>
      </c>
      <c r="H15" s="2">
        <v>25.6</v>
      </c>
      <c r="I15" s="3" t="s">
        <v>11</v>
      </c>
      <c r="J15" s="2">
        <v>6.4720000000000004</v>
      </c>
      <c r="K15" s="2">
        <v>29.4</v>
      </c>
      <c r="L15" s="2">
        <v>35.75</v>
      </c>
      <c r="M15" s="3">
        <v>29.277999999999999</v>
      </c>
      <c r="N15" s="3" t="s">
        <v>11</v>
      </c>
    </row>
    <row r="16" spans="1:15" x14ac:dyDescent="0.3">
      <c r="A16" s="2">
        <v>15</v>
      </c>
      <c r="B16" s="2" t="s">
        <v>12</v>
      </c>
      <c r="C16" s="3" t="s">
        <v>10</v>
      </c>
      <c r="D16" t="s">
        <v>6</v>
      </c>
      <c r="E16" s="2">
        <v>2.5</v>
      </c>
      <c r="F16" s="2">
        <v>53.7</v>
      </c>
      <c r="G16" s="2">
        <v>26.5</v>
      </c>
      <c r="H16" s="2">
        <v>24.68</v>
      </c>
      <c r="I16" s="2">
        <v>14.78</v>
      </c>
      <c r="J16" s="2">
        <v>5.4950000000000001</v>
      </c>
      <c r="K16" s="2">
        <v>30.17</v>
      </c>
      <c r="L16" s="2">
        <v>35.17</v>
      </c>
      <c r="M16" s="3">
        <v>29.675000000000001</v>
      </c>
      <c r="N16" s="2">
        <v>15.390000000000002</v>
      </c>
    </row>
    <row r="17" spans="1:14" x14ac:dyDescent="0.3">
      <c r="A17" s="2">
        <v>16</v>
      </c>
      <c r="B17" s="2" t="s">
        <v>12</v>
      </c>
      <c r="C17" s="3" t="s">
        <v>10</v>
      </c>
      <c r="D17" t="s">
        <v>6</v>
      </c>
      <c r="E17" s="2">
        <v>5.0810000000000004</v>
      </c>
      <c r="F17" s="2">
        <v>57.8</v>
      </c>
      <c r="G17" s="2">
        <v>95.1</v>
      </c>
      <c r="H17" s="2">
        <v>23.02</v>
      </c>
      <c r="I17" s="2">
        <v>14.01</v>
      </c>
      <c r="J17" s="2">
        <v>7.2789999999999999</v>
      </c>
      <c r="K17" s="2">
        <v>27.87</v>
      </c>
      <c r="L17" s="2">
        <v>34.979999999999997</v>
      </c>
      <c r="M17" s="3">
        <v>27.700999999999997</v>
      </c>
      <c r="N17" s="2">
        <v>13.860000000000001</v>
      </c>
    </row>
    <row r="18" spans="1:14" x14ac:dyDescent="0.3">
      <c r="A18" s="2">
        <v>17</v>
      </c>
      <c r="B18" s="2" t="s">
        <v>12</v>
      </c>
      <c r="C18" s="3" t="s">
        <v>10</v>
      </c>
      <c r="D18" t="s">
        <v>6</v>
      </c>
      <c r="E18" s="2">
        <v>3.1680000000000001</v>
      </c>
      <c r="F18" s="2">
        <v>56.5</v>
      </c>
      <c r="G18" s="2">
        <v>41.4</v>
      </c>
      <c r="H18" s="2">
        <v>23.05</v>
      </c>
      <c r="I18" s="2">
        <v>12.23</v>
      </c>
      <c r="J18" s="2">
        <v>4.6900000000000004</v>
      </c>
      <c r="K18" s="2">
        <v>29.66</v>
      </c>
      <c r="L18" s="2">
        <v>35.32</v>
      </c>
      <c r="M18" s="3">
        <v>30.63</v>
      </c>
      <c r="N18" s="2">
        <v>17.43</v>
      </c>
    </row>
    <row r="19" spans="1:14" x14ac:dyDescent="0.3">
      <c r="A19" s="2">
        <v>18</v>
      </c>
      <c r="B19" s="2" t="s">
        <v>12</v>
      </c>
      <c r="C19" s="3" t="s">
        <v>10</v>
      </c>
      <c r="D19" t="s">
        <v>7</v>
      </c>
      <c r="E19" s="2">
        <v>2.9390000000000001</v>
      </c>
      <c r="F19" s="2">
        <v>54.6</v>
      </c>
      <c r="G19" s="2">
        <v>43</v>
      </c>
      <c r="H19" s="2">
        <v>21.01</v>
      </c>
      <c r="I19" s="2">
        <v>12.82</v>
      </c>
      <c r="J19" s="2">
        <v>5.4450000000000003</v>
      </c>
      <c r="K19" s="2">
        <v>29.92</v>
      </c>
      <c r="L19" s="2">
        <v>34.74</v>
      </c>
      <c r="M19" s="3">
        <v>29.295000000000002</v>
      </c>
      <c r="N19" s="2">
        <v>17.100000000000001</v>
      </c>
    </row>
    <row r="20" spans="1:14" x14ac:dyDescent="0.3">
      <c r="A20" s="2">
        <v>19</v>
      </c>
      <c r="B20" s="2" t="s">
        <v>12</v>
      </c>
      <c r="C20" s="3" t="s">
        <v>10</v>
      </c>
      <c r="D20" t="s">
        <v>7</v>
      </c>
      <c r="E20" s="2">
        <v>3.2789999999999999</v>
      </c>
      <c r="F20" s="2">
        <v>52.1</v>
      </c>
      <c r="G20" s="2">
        <v>76.7</v>
      </c>
      <c r="H20" s="2">
        <v>23.01</v>
      </c>
      <c r="I20" s="2">
        <v>12.02</v>
      </c>
      <c r="J20" s="2">
        <v>4.6440000000000001</v>
      </c>
      <c r="K20" s="2">
        <v>31.02</v>
      </c>
      <c r="L20" s="2">
        <v>35.69</v>
      </c>
      <c r="M20" s="3">
        <v>31.045999999999999</v>
      </c>
      <c r="N20" s="2">
        <v>19</v>
      </c>
    </row>
    <row r="21" spans="1:14" x14ac:dyDescent="0.3">
      <c r="A21" s="2">
        <v>20</v>
      </c>
      <c r="B21" s="2" t="s">
        <v>12</v>
      </c>
      <c r="C21" s="3" t="s">
        <v>10</v>
      </c>
      <c r="D21" t="s">
        <v>7</v>
      </c>
      <c r="E21" s="2">
        <v>3.1280000000000001</v>
      </c>
      <c r="F21" s="2">
        <v>53.3</v>
      </c>
      <c r="G21" s="2">
        <v>58.9</v>
      </c>
      <c r="H21" s="2">
        <v>22.06</v>
      </c>
      <c r="I21" s="3" t="s">
        <v>11</v>
      </c>
      <c r="J21" s="2">
        <v>4.9870000000000001</v>
      </c>
      <c r="K21" s="2">
        <v>29.11</v>
      </c>
      <c r="L21" s="2">
        <v>34.5</v>
      </c>
      <c r="M21" s="3">
        <v>29.512999999999998</v>
      </c>
      <c r="N21" s="3" t="s">
        <v>11</v>
      </c>
    </row>
    <row r="22" spans="1:14" x14ac:dyDescent="0.3">
      <c r="A22" s="2">
        <v>21</v>
      </c>
      <c r="B22" s="2" t="s">
        <v>12</v>
      </c>
      <c r="C22" s="3" t="s">
        <v>10</v>
      </c>
      <c r="D22" t="s">
        <v>7</v>
      </c>
      <c r="E22" s="2">
        <v>3.1179999999999999</v>
      </c>
      <c r="F22" s="2">
        <v>52.5</v>
      </c>
      <c r="G22" s="2">
        <v>84.7</v>
      </c>
      <c r="H22" s="2">
        <v>25.15</v>
      </c>
      <c r="I22" s="3" t="s">
        <v>11</v>
      </c>
      <c r="J22" s="2">
        <v>5.0519999999999996</v>
      </c>
      <c r="K22" s="2">
        <v>29.73</v>
      </c>
      <c r="L22" s="2">
        <v>34.51</v>
      </c>
      <c r="M22" s="3">
        <v>29.457999999999998</v>
      </c>
      <c r="N22" s="3" t="s">
        <v>11</v>
      </c>
    </row>
    <row r="23" spans="1:14" x14ac:dyDescent="0.3">
      <c r="A23" s="2">
        <v>22</v>
      </c>
      <c r="B23" s="2" t="s">
        <v>12</v>
      </c>
      <c r="C23" s="3" t="s">
        <v>10</v>
      </c>
      <c r="D23" t="s">
        <v>7</v>
      </c>
      <c r="E23" s="2">
        <v>2.145</v>
      </c>
      <c r="F23" s="2">
        <v>57.6</v>
      </c>
      <c r="G23" s="2">
        <v>6</v>
      </c>
      <c r="H23" s="2">
        <v>21.52</v>
      </c>
      <c r="I23" s="2">
        <v>13.21</v>
      </c>
      <c r="J23" s="2">
        <v>6.23</v>
      </c>
      <c r="K23" s="2">
        <v>31.55</v>
      </c>
      <c r="L23" s="2">
        <v>33.47</v>
      </c>
      <c r="M23" s="3">
        <v>27.24</v>
      </c>
      <c r="N23" s="2">
        <v>18.34</v>
      </c>
    </row>
    <row r="24" spans="1:14" x14ac:dyDescent="0.3">
      <c r="A24" s="2">
        <v>23</v>
      </c>
      <c r="B24" s="2" t="s">
        <v>12</v>
      </c>
      <c r="C24" s="3" t="s">
        <v>10</v>
      </c>
      <c r="D24" t="s">
        <v>7</v>
      </c>
      <c r="E24" s="2">
        <v>4.181</v>
      </c>
      <c r="F24" s="2">
        <v>56.7</v>
      </c>
      <c r="G24" s="2">
        <v>78.8</v>
      </c>
      <c r="H24" s="2">
        <v>25.04</v>
      </c>
      <c r="I24" s="3" t="s">
        <v>11</v>
      </c>
      <c r="J24" s="2">
        <v>6.492</v>
      </c>
      <c r="K24" s="2">
        <v>29.8</v>
      </c>
      <c r="L24" s="2">
        <v>35.22</v>
      </c>
      <c r="M24" s="3">
        <v>28.727999999999998</v>
      </c>
      <c r="N24" s="3" t="s">
        <v>11</v>
      </c>
    </row>
    <row r="25" spans="1:14" x14ac:dyDescent="0.3">
      <c r="A25" s="2">
        <v>24</v>
      </c>
      <c r="B25" s="2" t="s">
        <v>12</v>
      </c>
      <c r="C25" s="3" t="s">
        <v>10</v>
      </c>
      <c r="D25" t="s">
        <v>7</v>
      </c>
      <c r="E25" s="2">
        <v>3.133</v>
      </c>
      <c r="F25" s="2">
        <v>54.1</v>
      </c>
      <c r="G25" s="2">
        <v>76.5</v>
      </c>
      <c r="H25" s="2">
        <v>22.29</v>
      </c>
      <c r="I25" s="3" t="s">
        <v>11</v>
      </c>
      <c r="J25" s="2">
        <v>6.08</v>
      </c>
      <c r="K25" s="2">
        <v>30.28</v>
      </c>
      <c r="L25" s="2">
        <v>35.21</v>
      </c>
      <c r="M25" s="3">
        <v>29.130000000000003</v>
      </c>
      <c r="N25" s="3" t="s">
        <v>11</v>
      </c>
    </row>
    <row r="26" spans="1:14" x14ac:dyDescent="0.3">
      <c r="A26" s="2">
        <v>25</v>
      </c>
      <c r="B26" s="2" t="s">
        <v>8</v>
      </c>
      <c r="C26" s="3">
        <v>3200</v>
      </c>
      <c r="D26" t="s">
        <v>6</v>
      </c>
      <c r="E26" s="2">
        <v>1.8529999999999998</v>
      </c>
      <c r="F26" s="2">
        <v>45.5</v>
      </c>
      <c r="G26" s="2">
        <v>70.2</v>
      </c>
      <c r="H26" s="2">
        <v>21.13</v>
      </c>
      <c r="I26" s="2">
        <v>14.19</v>
      </c>
      <c r="J26" s="2">
        <v>6.3710000000000004</v>
      </c>
      <c r="K26" s="2">
        <v>30.87</v>
      </c>
      <c r="L26" s="2">
        <v>34.35</v>
      </c>
      <c r="M26" s="3">
        <v>27.978999999999999</v>
      </c>
      <c r="N26" s="2">
        <v>16.68</v>
      </c>
    </row>
    <row r="27" spans="1:14" x14ac:dyDescent="0.3">
      <c r="A27" s="2">
        <v>26</v>
      </c>
      <c r="B27" s="2" t="s">
        <v>8</v>
      </c>
      <c r="C27" s="3">
        <v>3200</v>
      </c>
      <c r="D27" t="s">
        <v>7</v>
      </c>
      <c r="E27" s="2">
        <v>2.0229999999999997</v>
      </c>
      <c r="F27" s="2">
        <v>48.3</v>
      </c>
      <c r="G27" s="2">
        <v>68.5</v>
      </c>
      <c r="H27" s="2">
        <v>21.99</v>
      </c>
      <c r="I27" s="2">
        <v>12.77</v>
      </c>
      <c r="J27" s="2">
        <v>6.8659999999999997</v>
      </c>
      <c r="K27" s="2">
        <v>29.77</v>
      </c>
      <c r="L27" s="2">
        <v>34.6</v>
      </c>
      <c r="M27" s="3">
        <v>27.734000000000002</v>
      </c>
      <c r="N27" s="2">
        <v>17</v>
      </c>
    </row>
    <row r="28" spans="1:14" x14ac:dyDescent="0.3">
      <c r="A28" s="2">
        <v>27</v>
      </c>
      <c r="B28" s="2" t="s">
        <v>8</v>
      </c>
      <c r="C28" s="3">
        <v>3200</v>
      </c>
      <c r="D28" t="s">
        <v>7</v>
      </c>
      <c r="E28" s="2">
        <v>1.8779999999999999</v>
      </c>
      <c r="F28" s="2">
        <v>49.3</v>
      </c>
      <c r="G28" s="2">
        <v>58.8</v>
      </c>
      <c r="H28" s="2">
        <v>22.76</v>
      </c>
      <c r="I28" s="2">
        <v>12.52</v>
      </c>
      <c r="J28" s="2">
        <v>7.9489999999999998</v>
      </c>
      <c r="K28" s="2">
        <v>29.59</v>
      </c>
      <c r="L28" s="2">
        <v>34.35</v>
      </c>
      <c r="M28" s="3">
        <v>26.401000000000003</v>
      </c>
      <c r="N28" s="2">
        <v>17.07</v>
      </c>
    </row>
    <row r="29" spans="1:14" x14ac:dyDescent="0.3">
      <c r="A29" s="2">
        <v>28</v>
      </c>
      <c r="B29" s="2" t="s">
        <v>8</v>
      </c>
      <c r="C29" s="3">
        <v>3200</v>
      </c>
      <c r="D29" t="s">
        <v>7</v>
      </c>
      <c r="E29" s="2">
        <v>1.665</v>
      </c>
      <c r="F29" s="2">
        <v>47.8</v>
      </c>
      <c r="G29" s="2">
        <v>17.3</v>
      </c>
      <c r="H29" s="2">
        <v>24.32</v>
      </c>
      <c r="I29" s="3" t="s">
        <v>11</v>
      </c>
      <c r="J29" s="2">
        <v>8.6639999999999997</v>
      </c>
      <c r="K29" s="2">
        <v>29.95</v>
      </c>
      <c r="L29" s="2">
        <v>33.090000000000003</v>
      </c>
      <c r="M29" s="3">
        <v>24.426000000000002</v>
      </c>
      <c r="N29" s="3" t="s">
        <v>11</v>
      </c>
    </row>
    <row r="30" spans="1:14" x14ac:dyDescent="0.3">
      <c r="A30" s="2">
        <v>29</v>
      </c>
      <c r="B30" s="2" t="s">
        <v>8</v>
      </c>
      <c r="C30" s="3">
        <v>3200</v>
      </c>
      <c r="D30" t="s">
        <v>6</v>
      </c>
      <c r="E30" s="2">
        <v>1.7190000000000001</v>
      </c>
      <c r="F30" s="2">
        <v>41.5</v>
      </c>
      <c r="G30" s="2">
        <v>79.5</v>
      </c>
      <c r="H30" s="2">
        <v>22.77</v>
      </c>
      <c r="I30" s="2">
        <v>12.1</v>
      </c>
      <c r="J30" s="2">
        <v>7.407</v>
      </c>
      <c r="K30" s="2">
        <v>30.24</v>
      </c>
      <c r="L30" s="2">
        <v>34.56</v>
      </c>
      <c r="M30" s="3">
        <v>27.153000000000002</v>
      </c>
      <c r="N30" s="2">
        <v>18.14</v>
      </c>
    </row>
    <row r="31" spans="1:14" x14ac:dyDescent="0.3">
      <c r="A31" s="2">
        <v>30</v>
      </c>
      <c r="B31" s="2" t="s">
        <v>8</v>
      </c>
      <c r="C31" s="3">
        <v>3200</v>
      </c>
      <c r="D31" t="s">
        <v>7</v>
      </c>
      <c r="E31" s="2">
        <v>1.825</v>
      </c>
      <c r="F31" s="2">
        <v>44.3</v>
      </c>
      <c r="G31" s="2">
        <v>73.3</v>
      </c>
      <c r="H31" s="2">
        <v>22.8</v>
      </c>
      <c r="I31" s="2">
        <v>13.08</v>
      </c>
      <c r="J31" s="2">
        <v>7.6859999999999999</v>
      </c>
      <c r="K31" s="2">
        <v>30.7</v>
      </c>
      <c r="L31" s="2">
        <v>34.479999999999997</v>
      </c>
      <c r="M31" s="3">
        <v>26.793999999999997</v>
      </c>
      <c r="N31" s="2">
        <v>17.619999999999997</v>
      </c>
    </row>
    <row r="32" spans="1:14" x14ac:dyDescent="0.3">
      <c r="A32" s="2">
        <v>31</v>
      </c>
      <c r="B32" s="2" t="s">
        <v>8</v>
      </c>
      <c r="C32" s="3">
        <v>3200</v>
      </c>
      <c r="D32" t="s">
        <v>6</v>
      </c>
      <c r="E32" s="2">
        <v>1.1359999999999999</v>
      </c>
      <c r="F32" s="2">
        <v>39.200000000000003</v>
      </c>
      <c r="G32" s="2">
        <v>40.200000000000003</v>
      </c>
      <c r="H32" s="2">
        <v>22.35</v>
      </c>
      <c r="I32" s="3" t="s">
        <v>11</v>
      </c>
      <c r="J32" s="2">
        <v>9.4009999999999998</v>
      </c>
      <c r="K32" s="2">
        <v>29.36</v>
      </c>
      <c r="L32" s="2">
        <v>33.71</v>
      </c>
      <c r="M32" s="3">
        <v>24.309000000000001</v>
      </c>
      <c r="N32" s="3" t="s">
        <v>11</v>
      </c>
    </row>
    <row r="33" spans="1:15" x14ac:dyDescent="0.3">
      <c r="A33" s="2">
        <v>32</v>
      </c>
      <c r="B33" s="2" t="s">
        <v>8</v>
      </c>
      <c r="C33" s="3">
        <v>3200</v>
      </c>
      <c r="D33" t="s">
        <v>7</v>
      </c>
      <c r="E33" s="2">
        <v>1.552</v>
      </c>
      <c r="F33" s="2">
        <v>41.3</v>
      </c>
      <c r="G33" s="2">
        <v>69.900000000000006</v>
      </c>
      <c r="H33" s="2">
        <v>22.29</v>
      </c>
      <c r="I33" s="2">
        <v>11.9</v>
      </c>
      <c r="J33" s="2">
        <v>8.2469999999999999</v>
      </c>
      <c r="K33" s="2">
        <v>28.48</v>
      </c>
      <c r="L33" s="2">
        <v>33.26</v>
      </c>
      <c r="M33" s="3">
        <v>25.012999999999998</v>
      </c>
      <c r="N33" s="2">
        <v>16.579999999999998</v>
      </c>
    </row>
    <row r="34" spans="1:15" x14ac:dyDescent="0.3">
      <c r="A34" s="2">
        <v>33</v>
      </c>
      <c r="B34" s="2" t="s">
        <v>8</v>
      </c>
      <c r="C34" s="3">
        <v>3200</v>
      </c>
      <c r="D34" t="s">
        <v>6</v>
      </c>
      <c r="E34" s="2">
        <v>1.54</v>
      </c>
      <c r="F34" s="2">
        <v>42.5</v>
      </c>
      <c r="G34" s="2">
        <v>63.1</v>
      </c>
      <c r="H34" s="2">
        <v>24.11</v>
      </c>
      <c r="I34" s="2">
        <v>11.31</v>
      </c>
      <c r="J34" s="2">
        <v>8.2140000000000004</v>
      </c>
      <c r="K34" s="2">
        <v>27.92</v>
      </c>
      <c r="L34" s="2">
        <v>33.840000000000003</v>
      </c>
      <c r="M34" s="3">
        <v>25.626000000000005</v>
      </c>
      <c r="N34" s="2">
        <v>16.61</v>
      </c>
    </row>
    <row r="35" spans="1:15" x14ac:dyDescent="0.3">
      <c r="A35" s="2">
        <v>34</v>
      </c>
      <c r="B35" s="2" t="s">
        <v>8</v>
      </c>
      <c r="C35" s="3">
        <v>3200</v>
      </c>
      <c r="D35" t="s">
        <v>7</v>
      </c>
      <c r="E35" s="2">
        <v>1.282</v>
      </c>
      <c r="F35" s="2">
        <v>49.8</v>
      </c>
      <c r="G35" s="2">
        <v>7.4</v>
      </c>
      <c r="H35" s="2">
        <v>24.42</v>
      </c>
      <c r="I35" s="3" t="s">
        <v>11</v>
      </c>
      <c r="J35" s="2">
        <v>8.2370000000000001</v>
      </c>
      <c r="K35" s="2">
        <v>31.28</v>
      </c>
      <c r="L35" s="2">
        <v>35.31</v>
      </c>
      <c r="M35" s="3">
        <v>27.073</v>
      </c>
      <c r="N35" s="3" t="s">
        <v>11</v>
      </c>
    </row>
    <row r="36" spans="1:15" x14ac:dyDescent="0.3">
      <c r="A36" s="2">
        <v>35</v>
      </c>
      <c r="B36" s="2" t="s">
        <v>8</v>
      </c>
      <c r="C36" s="3">
        <v>3200</v>
      </c>
      <c r="D36" t="s">
        <v>7</v>
      </c>
      <c r="E36" s="2">
        <v>1.456</v>
      </c>
      <c r="F36" s="2">
        <v>43.6</v>
      </c>
      <c r="G36" s="2">
        <v>36.700000000000003</v>
      </c>
      <c r="H36" s="2">
        <v>24.9</v>
      </c>
      <c r="I36" s="3" t="s">
        <v>11</v>
      </c>
      <c r="J36" s="2">
        <v>7.4729999999999999</v>
      </c>
      <c r="K36" s="2">
        <v>30.02</v>
      </c>
      <c r="L36" s="2">
        <v>33.49</v>
      </c>
      <c r="M36" s="3">
        <v>26.017000000000003</v>
      </c>
      <c r="N36" s="3" t="s">
        <v>11</v>
      </c>
    </row>
    <row r="37" spans="1:15" x14ac:dyDescent="0.3">
      <c r="A37" s="2">
        <v>36</v>
      </c>
      <c r="B37" s="2" t="s">
        <v>9</v>
      </c>
      <c r="C37" s="3">
        <v>2800</v>
      </c>
      <c r="D37" t="s">
        <v>7</v>
      </c>
      <c r="E37" s="2">
        <v>1.4929999999999986</v>
      </c>
      <c r="F37" s="2">
        <v>40.9</v>
      </c>
      <c r="G37" s="2">
        <v>40.9</v>
      </c>
      <c r="H37" s="2">
        <v>23.54</v>
      </c>
      <c r="I37" s="2">
        <v>15.66</v>
      </c>
      <c r="J37" s="2">
        <v>8.0950000000000006</v>
      </c>
      <c r="K37" s="2">
        <v>30.97</v>
      </c>
      <c r="L37" s="2">
        <v>34.49</v>
      </c>
      <c r="M37" s="3">
        <v>26.395000000000003</v>
      </c>
      <c r="N37" s="2">
        <v>15.309999999999999</v>
      </c>
      <c r="O37">
        <f>_xlfn.QUARTILE.EXC(H37:H48,1)</f>
        <v>22.520000000000003</v>
      </c>
    </row>
    <row r="38" spans="1:15" x14ac:dyDescent="0.3">
      <c r="A38" s="2">
        <v>37</v>
      </c>
      <c r="B38" s="2" t="s">
        <v>9</v>
      </c>
      <c r="C38" s="3">
        <v>2800</v>
      </c>
      <c r="D38" t="s">
        <v>7</v>
      </c>
      <c r="E38" s="2">
        <v>1.5410000000000004</v>
      </c>
      <c r="F38" s="2">
        <v>44.3</v>
      </c>
      <c r="G38" s="2">
        <v>44.3</v>
      </c>
      <c r="H38" s="2">
        <v>24.37</v>
      </c>
      <c r="I38" s="2">
        <v>14.63</v>
      </c>
      <c r="J38" s="2">
        <v>8.4819999999999993</v>
      </c>
      <c r="K38" s="2">
        <v>29.61</v>
      </c>
      <c r="L38" s="2">
        <v>33.89</v>
      </c>
      <c r="M38" s="3">
        <v>25.408000000000001</v>
      </c>
      <c r="N38" s="2">
        <v>14.979999999999999</v>
      </c>
      <c r="O38">
        <f>_xlfn.QUARTILE.EXC(H37:H48,3)</f>
        <v>24.317500000000003</v>
      </c>
    </row>
    <row r="39" spans="1:15" x14ac:dyDescent="0.3">
      <c r="A39" s="2">
        <v>38</v>
      </c>
      <c r="B39" s="2" t="s">
        <v>9</v>
      </c>
      <c r="C39" s="3">
        <v>2800</v>
      </c>
      <c r="D39" t="s">
        <v>7</v>
      </c>
      <c r="E39" s="2">
        <v>1.7620000000000005</v>
      </c>
      <c r="F39" s="2">
        <v>46.1</v>
      </c>
      <c r="G39" s="2">
        <v>46.1</v>
      </c>
      <c r="H39" s="2">
        <v>22.76</v>
      </c>
      <c r="I39" s="2">
        <v>12.45</v>
      </c>
      <c r="J39" s="2">
        <v>6.5880000000000001</v>
      </c>
      <c r="K39" s="2">
        <v>28.94</v>
      </c>
      <c r="L39" s="2">
        <v>34.090000000000003</v>
      </c>
      <c r="M39" s="3">
        <v>27.502000000000002</v>
      </c>
      <c r="N39" s="2">
        <v>16.490000000000002</v>
      </c>
    </row>
    <row r="40" spans="1:15" x14ac:dyDescent="0.3">
      <c r="A40" s="2">
        <v>39</v>
      </c>
      <c r="B40" s="2" t="s">
        <v>9</v>
      </c>
      <c r="C40" s="3">
        <v>2800</v>
      </c>
      <c r="D40" t="s">
        <v>6</v>
      </c>
      <c r="E40" s="2">
        <v>1.4740000000000002</v>
      </c>
      <c r="F40" s="2">
        <v>41.6</v>
      </c>
      <c r="G40" s="2">
        <v>42.6</v>
      </c>
      <c r="H40" s="2">
        <v>23.5</v>
      </c>
      <c r="I40" s="2">
        <v>13.62</v>
      </c>
      <c r="J40" s="2">
        <v>8.7210000000000001</v>
      </c>
      <c r="K40" s="2">
        <v>31.07</v>
      </c>
      <c r="L40" s="2">
        <v>35.700000000000003</v>
      </c>
      <c r="M40" s="3">
        <v>26.979000000000003</v>
      </c>
      <c r="N40" s="2">
        <v>17.450000000000003</v>
      </c>
    </row>
    <row r="41" spans="1:15" x14ac:dyDescent="0.3">
      <c r="A41" s="2">
        <v>40</v>
      </c>
      <c r="B41" s="2" t="s">
        <v>9</v>
      </c>
      <c r="C41" s="3">
        <v>2800</v>
      </c>
      <c r="D41" t="s">
        <v>7</v>
      </c>
      <c r="E41" s="2">
        <v>1.7059999999999995</v>
      </c>
      <c r="F41" s="2">
        <v>48.1</v>
      </c>
      <c r="G41" s="2">
        <v>48.1</v>
      </c>
      <c r="H41" s="2">
        <v>23.72</v>
      </c>
      <c r="I41" s="3" t="s">
        <v>11</v>
      </c>
      <c r="J41" s="2">
        <v>7.1970000000000001</v>
      </c>
      <c r="K41" s="2">
        <v>30.18</v>
      </c>
      <c r="L41" s="2">
        <v>33.5</v>
      </c>
      <c r="M41" s="3">
        <v>26.303000000000001</v>
      </c>
      <c r="N41" s="3" t="s">
        <v>11</v>
      </c>
    </row>
    <row r="42" spans="1:15" x14ac:dyDescent="0.3">
      <c r="A42" s="2">
        <v>41</v>
      </c>
      <c r="B42" s="2" t="s">
        <v>9</v>
      </c>
      <c r="C42" s="3">
        <v>2800</v>
      </c>
      <c r="D42" t="s">
        <v>6</v>
      </c>
      <c r="E42" s="2">
        <v>2.109</v>
      </c>
      <c r="F42" s="2">
        <v>47.1</v>
      </c>
      <c r="G42" s="2">
        <v>47.1</v>
      </c>
      <c r="H42" s="2">
        <v>22.41</v>
      </c>
      <c r="I42" s="3" t="s">
        <v>11</v>
      </c>
      <c r="J42" s="2">
        <v>9.2720000000000002</v>
      </c>
      <c r="K42" s="2">
        <v>31.4</v>
      </c>
      <c r="L42" s="2">
        <v>34.78</v>
      </c>
      <c r="M42" s="3">
        <v>25.508000000000003</v>
      </c>
      <c r="N42" s="3" t="s">
        <v>11</v>
      </c>
    </row>
    <row r="43" spans="1:15" x14ac:dyDescent="0.3">
      <c r="A43" s="2">
        <v>42</v>
      </c>
      <c r="B43" s="2" t="s">
        <v>9</v>
      </c>
      <c r="C43" s="3">
        <v>2800</v>
      </c>
      <c r="D43" t="s">
        <v>6</v>
      </c>
      <c r="E43" s="2">
        <v>1.335</v>
      </c>
      <c r="F43" s="2">
        <v>42.5</v>
      </c>
      <c r="G43" s="2">
        <v>39.5</v>
      </c>
      <c r="H43" s="2">
        <v>22.41</v>
      </c>
      <c r="I43" s="3" t="s">
        <v>11</v>
      </c>
      <c r="J43" s="2">
        <v>6.9119999999999999</v>
      </c>
      <c r="K43" s="2">
        <v>29.52</v>
      </c>
      <c r="L43" s="2">
        <v>33.49</v>
      </c>
      <c r="M43" s="3">
        <v>26.578000000000003</v>
      </c>
      <c r="N43" s="3" t="s">
        <v>11</v>
      </c>
    </row>
    <row r="44" spans="1:15" x14ac:dyDescent="0.3">
      <c r="A44" s="2">
        <v>43</v>
      </c>
      <c r="B44" s="2" t="s">
        <v>9</v>
      </c>
      <c r="C44" s="3">
        <v>2800</v>
      </c>
      <c r="D44" t="s">
        <v>6</v>
      </c>
      <c r="E44" s="2">
        <v>1.6950000000000003</v>
      </c>
      <c r="F44" s="2">
        <v>41.7</v>
      </c>
      <c r="G44" s="2">
        <v>41.7</v>
      </c>
      <c r="H44" s="2">
        <v>22.44</v>
      </c>
      <c r="I44" s="2">
        <v>15.23</v>
      </c>
      <c r="J44" s="2">
        <v>7.91</v>
      </c>
      <c r="K44" s="2">
        <v>30.4</v>
      </c>
      <c r="L44" s="2">
        <v>33.79</v>
      </c>
      <c r="M44" s="3">
        <v>25.88</v>
      </c>
      <c r="N44" s="2">
        <v>15.169999999999998</v>
      </c>
    </row>
    <row r="45" spans="1:15" x14ac:dyDescent="0.3">
      <c r="A45" s="2">
        <v>44</v>
      </c>
      <c r="B45" s="2" t="s">
        <v>9</v>
      </c>
      <c r="C45" s="3">
        <v>2800</v>
      </c>
      <c r="D45" t="s">
        <v>6</v>
      </c>
      <c r="E45" s="2">
        <v>2.2989999999999995</v>
      </c>
      <c r="F45" s="2">
        <v>45.8</v>
      </c>
      <c r="G45" s="2">
        <v>45.8</v>
      </c>
      <c r="H45" s="2">
        <v>24.16</v>
      </c>
      <c r="I45" s="2">
        <v>12.54</v>
      </c>
      <c r="J45" s="2">
        <v>6.7409999999999997</v>
      </c>
      <c r="K45" s="2">
        <v>31.43</v>
      </c>
      <c r="L45" s="2">
        <v>34.25</v>
      </c>
      <c r="M45" s="3">
        <v>27.509</v>
      </c>
      <c r="N45" s="2">
        <v>18.89</v>
      </c>
    </row>
    <row r="46" spans="1:15" x14ac:dyDescent="0.3">
      <c r="A46" s="2">
        <v>45</v>
      </c>
      <c r="B46" s="2" t="s">
        <v>9</v>
      </c>
      <c r="C46" s="3">
        <v>2800</v>
      </c>
      <c r="D46" t="s">
        <v>7</v>
      </c>
      <c r="E46" s="2">
        <v>1.5809999999999995</v>
      </c>
      <c r="F46" s="2">
        <v>43.1</v>
      </c>
      <c r="G46" s="2">
        <v>43.1</v>
      </c>
      <c r="H46" s="2">
        <v>23.12</v>
      </c>
      <c r="I46" s="2">
        <v>16.600000000000001</v>
      </c>
      <c r="J46" s="2">
        <v>7.56</v>
      </c>
      <c r="K46" s="2">
        <v>30.49</v>
      </c>
      <c r="L46" s="2">
        <v>33.549999999999997</v>
      </c>
      <c r="M46" s="3">
        <v>25.99</v>
      </c>
      <c r="N46" s="2">
        <v>13.889999999999997</v>
      </c>
    </row>
    <row r="47" spans="1:15" x14ac:dyDescent="0.3">
      <c r="A47" s="2">
        <v>46</v>
      </c>
      <c r="B47" s="2" t="s">
        <v>9</v>
      </c>
      <c r="C47" s="3">
        <v>2800</v>
      </c>
      <c r="D47" t="s">
        <v>7</v>
      </c>
      <c r="E47" s="2">
        <v>1.5549999999999997</v>
      </c>
      <c r="F47" s="2">
        <v>43.7</v>
      </c>
      <c r="G47" s="2">
        <v>43.7</v>
      </c>
      <c r="H47" s="2">
        <v>25.4</v>
      </c>
      <c r="I47" s="2">
        <v>14.79</v>
      </c>
      <c r="J47" s="2">
        <v>8.34</v>
      </c>
      <c r="K47" s="2">
        <v>30.47</v>
      </c>
      <c r="L47" s="2">
        <v>34.869999999999997</v>
      </c>
      <c r="M47" s="3">
        <v>26.529999999999998</v>
      </c>
      <c r="N47" s="2">
        <v>15.68</v>
      </c>
    </row>
    <row r="48" spans="1:15" x14ac:dyDescent="0.3">
      <c r="A48" s="2">
        <v>47</v>
      </c>
      <c r="B48" s="2" t="s">
        <v>9</v>
      </c>
      <c r="C48" s="3">
        <v>2800</v>
      </c>
      <c r="D48" t="s">
        <v>7</v>
      </c>
      <c r="E48" s="2">
        <v>1.5149999999999988</v>
      </c>
      <c r="F48" s="2">
        <v>45.1</v>
      </c>
      <c r="G48" s="2">
        <v>45.1</v>
      </c>
      <c r="H48" s="2">
        <v>25.32</v>
      </c>
      <c r="I48" s="2">
        <v>15.69</v>
      </c>
      <c r="J48" s="2">
        <v>7.6559999999999997</v>
      </c>
      <c r="K48" s="2">
        <v>29.65</v>
      </c>
      <c r="L48" s="2">
        <v>35.369999999999997</v>
      </c>
      <c r="M48" s="3">
        <v>27.713999999999999</v>
      </c>
      <c r="N48" s="2">
        <v>13.959999999999999</v>
      </c>
    </row>
  </sheetData>
  <autoFilter ref="A1:N48" xr:uid="{F4695DD5-0700-4077-94CD-2C2B870A138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Alejandra Briceño Herrera</dc:creator>
  <cp:lastModifiedBy>Luis Mamani</cp:lastModifiedBy>
  <dcterms:created xsi:type="dcterms:W3CDTF">2025-05-02T03:22:22Z</dcterms:created>
  <dcterms:modified xsi:type="dcterms:W3CDTF">2026-01-20T15:08:58Z</dcterms:modified>
</cp:coreProperties>
</file>
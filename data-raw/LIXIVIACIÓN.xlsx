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topcom.sharepoint.com/sites/IDInnocon2-Alimentacin/Documentos compartidos/Alimentación/3- PROYECTOS CORFO/CORFO grasa sustentable - Innocon/2. Documentos de trabajo/9. ANÁLISIS DE LIXIVIACIÓN/"/>
    </mc:Choice>
  </mc:AlternateContent>
  <xr:revisionPtr revIDLastSave="0" documentId="8_{DF8DADDA-FE93-4567-ADD0-BC7D1F7456CB}" xr6:coauthVersionLast="47" xr6:coauthVersionMax="47" xr10:uidLastSave="{00000000-0000-0000-0000-000000000000}"/>
  <bookViews>
    <workbookView xWindow="-120" yWindow="-120" windowWidth="29040" windowHeight="15840" firstSheet="2" activeTab="2" xr2:uid="{9FF91436-D475-48C3-A61B-71C923DE8C07}"/>
  </bookViews>
  <sheets>
    <sheet name="Hoja1" sheetId="1" r:id="rId1"/>
    <sheet name="Hoja4" sheetId="4" r:id="rId2"/>
    <sheet name="Hoja2" sheetId="2" r:id="rId3"/>
    <sheet name="Hoja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1" l="1"/>
  <c r="E6" i="1"/>
  <c r="O81" i="1"/>
  <c r="R82" i="1"/>
  <c r="P84" i="1"/>
  <c r="P83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T84" i="1"/>
  <c r="T82" i="1"/>
  <c r="T83" i="1"/>
  <c r="T85" i="1"/>
  <c r="T86" i="1"/>
  <c r="T87" i="1"/>
  <c r="T88" i="1"/>
  <c r="T89" i="1"/>
  <c r="T90" i="1"/>
  <c r="T91" i="1"/>
  <c r="T92" i="1"/>
  <c r="T93" i="1"/>
  <c r="T94" i="1"/>
  <c r="T95" i="1"/>
  <c r="T81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81" i="1"/>
  <c r="P95" i="1"/>
  <c r="P82" i="1"/>
  <c r="P85" i="1"/>
  <c r="P86" i="1"/>
  <c r="P87" i="1"/>
  <c r="P88" i="1"/>
  <c r="P89" i="1"/>
  <c r="P90" i="1"/>
  <c r="P91" i="1"/>
  <c r="P92" i="1"/>
  <c r="P93" i="1"/>
  <c r="P94" i="1"/>
  <c r="P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81" i="1"/>
  <c r="V5" i="1"/>
  <c r="E71" i="1"/>
  <c r="Q76" i="1"/>
  <c r="O76" i="1"/>
  <c r="N76" i="1"/>
  <c r="M76" i="1"/>
  <c r="L76" i="1"/>
  <c r="K76" i="1"/>
  <c r="J76" i="1"/>
  <c r="I76" i="1"/>
  <c r="H76" i="1"/>
  <c r="G76" i="1"/>
  <c r="F76" i="1"/>
  <c r="E76" i="1"/>
  <c r="Q71" i="1"/>
  <c r="O71" i="1"/>
  <c r="N71" i="1"/>
  <c r="M71" i="1"/>
  <c r="L71" i="1"/>
  <c r="K71" i="1"/>
  <c r="J71" i="1"/>
  <c r="I71" i="1"/>
  <c r="H71" i="1"/>
  <c r="G71" i="1"/>
  <c r="F71" i="1"/>
  <c r="E66" i="1"/>
  <c r="Q66" i="1"/>
  <c r="O66" i="1"/>
  <c r="N66" i="1"/>
  <c r="M66" i="1"/>
  <c r="L66" i="1"/>
  <c r="K66" i="1"/>
  <c r="J66" i="1"/>
  <c r="I66" i="1"/>
  <c r="H66" i="1"/>
  <c r="G66" i="1"/>
  <c r="F66" i="1"/>
  <c r="Q61" i="1"/>
  <c r="O61" i="1"/>
  <c r="N61" i="1"/>
  <c r="M61" i="1"/>
  <c r="L61" i="1"/>
  <c r="K61" i="1"/>
  <c r="J61" i="1"/>
  <c r="I61" i="1"/>
  <c r="H61" i="1"/>
  <c r="G61" i="1"/>
  <c r="F61" i="1"/>
  <c r="E61" i="1"/>
  <c r="Q56" i="1"/>
  <c r="O56" i="1"/>
  <c r="N56" i="1"/>
  <c r="M56" i="1"/>
  <c r="L56" i="1"/>
  <c r="K56" i="1"/>
  <c r="J56" i="1"/>
  <c r="I56" i="1"/>
  <c r="H56" i="1"/>
  <c r="G56" i="1"/>
  <c r="F56" i="1"/>
  <c r="Q51" i="1"/>
  <c r="O51" i="1"/>
  <c r="N51" i="1"/>
  <c r="M51" i="1"/>
  <c r="L51" i="1"/>
  <c r="K51" i="1"/>
  <c r="J51" i="1"/>
  <c r="I51" i="1"/>
  <c r="H51" i="1"/>
  <c r="G51" i="1"/>
  <c r="F51" i="1"/>
  <c r="E51" i="1"/>
  <c r="Q46" i="1"/>
  <c r="O46" i="1"/>
  <c r="N46" i="1"/>
  <c r="M46" i="1"/>
  <c r="L46" i="1"/>
  <c r="K46" i="1"/>
  <c r="J46" i="1"/>
  <c r="I46" i="1"/>
  <c r="H46" i="1"/>
  <c r="G46" i="1"/>
  <c r="F46" i="1"/>
  <c r="E46" i="1"/>
  <c r="Q41" i="1"/>
  <c r="O41" i="1"/>
  <c r="N41" i="1"/>
  <c r="M41" i="1"/>
  <c r="L41" i="1"/>
  <c r="K41" i="1"/>
  <c r="J41" i="1"/>
  <c r="I41" i="1"/>
  <c r="H41" i="1"/>
  <c r="G41" i="1"/>
  <c r="F41" i="1"/>
  <c r="E41" i="1"/>
  <c r="Q36" i="1"/>
  <c r="O36" i="1"/>
  <c r="N36" i="1"/>
  <c r="M36" i="1"/>
  <c r="L36" i="1"/>
  <c r="K36" i="1"/>
  <c r="J36" i="1"/>
  <c r="I36" i="1"/>
  <c r="H36" i="1"/>
  <c r="G36" i="1"/>
  <c r="F36" i="1"/>
  <c r="E36" i="1"/>
  <c r="Q31" i="1"/>
  <c r="O31" i="1"/>
  <c r="N31" i="1"/>
  <c r="M31" i="1"/>
  <c r="L31" i="1"/>
  <c r="K31" i="1"/>
  <c r="J31" i="1"/>
  <c r="I31" i="1"/>
  <c r="H31" i="1"/>
  <c r="G31" i="1"/>
  <c r="F31" i="1"/>
  <c r="E31" i="1"/>
  <c r="Q26" i="1"/>
  <c r="O26" i="1"/>
  <c r="N26" i="1"/>
  <c r="M26" i="1"/>
  <c r="L26" i="1"/>
  <c r="K26" i="1"/>
  <c r="J26" i="1"/>
  <c r="I26" i="1"/>
  <c r="H26" i="1"/>
  <c r="G26" i="1"/>
  <c r="F26" i="1"/>
  <c r="E26" i="1"/>
  <c r="Q21" i="1"/>
  <c r="O21" i="1"/>
  <c r="N21" i="1"/>
  <c r="M21" i="1"/>
  <c r="L21" i="1"/>
  <c r="K21" i="1"/>
  <c r="J21" i="1"/>
  <c r="I21" i="1"/>
  <c r="H21" i="1"/>
  <c r="G21" i="1"/>
  <c r="F21" i="1"/>
  <c r="E21" i="1"/>
  <c r="Q16" i="1"/>
  <c r="O16" i="1"/>
  <c r="N16" i="1"/>
  <c r="M16" i="1"/>
  <c r="L16" i="1"/>
  <c r="K16" i="1"/>
  <c r="J16" i="1"/>
  <c r="I16" i="1"/>
  <c r="H16" i="1"/>
  <c r="G16" i="1"/>
  <c r="F16" i="1"/>
  <c r="E16" i="1"/>
  <c r="Q11" i="1"/>
  <c r="O11" i="1"/>
  <c r="N11" i="1"/>
  <c r="M11" i="1"/>
  <c r="L11" i="1"/>
  <c r="K11" i="1"/>
  <c r="J11" i="1"/>
  <c r="I11" i="1"/>
  <c r="H11" i="1"/>
  <c r="G11" i="1"/>
  <c r="F11" i="1"/>
  <c r="E11" i="1"/>
  <c r="Q6" i="1"/>
  <c r="O6" i="1"/>
  <c r="N6" i="1"/>
  <c r="M6" i="1"/>
  <c r="L6" i="1"/>
  <c r="K6" i="1"/>
  <c r="J6" i="1"/>
  <c r="I6" i="1"/>
  <c r="H6" i="1"/>
  <c r="G6" i="1"/>
  <c r="F6" i="1"/>
  <c r="V4" i="1" l="1"/>
</calcChain>
</file>

<file path=xl/sharedStrings.xml><?xml version="1.0" encoding="utf-8"?>
<sst xmlns="http://schemas.openxmlformats.org/spreadsheetml/2006/main" count="439" uniqueCount="79">
  <si>
    <t>Tiempo: 2 horas</t>
  </si>
  <si>
    <t>Muestra</t>
  </si>
  <si>
    <t>Control</t>
  </si>
  <si>
    <t>Dieta IER</t>
  </si>
  <si>
    <t>Dieta IEQ</t>
  </si>
  <si>
    <t>Sin aceitar</t>
  </si>
  <si>
    <t>Inicial (placa + papel)</t>
  </si>
  <si>
    <t>Tiempo</t>
  </si>
  <si>
    <t>Dieta DIEQ</t>
  </si>
  <si>
    <t xml:space="preserve">Sin aceitar </t>
  </si>
  <si>
    <t>Extruido</t>
  </si>
  <si>
    <t>Final (placa + papel)</t>
  </si>
  <si>
    <t>Exudado %</t>
  </si>
  <si>
    <t>Tiempo: 4 horas</t>
  </si>
  <si>
    <t>Tiempo: 6 horas</t>
  </si>
  <si>
    <t>Tiempo: 24 horas</t>
  </si>
  <si>
    <t>Tiempo: 30 horas</t>
  </si>
  <si>
    <t>Tiempo: 4 dias</t>
  </si>
  <si>
    <t>Tiempo: 5 dias</t>
  </si>
  <si>
    <t>Tiempo: 6 dias</t>
  </si>
  <si>
    <t>Tiempo: 9 dias</t>
  </si>
  <si>
    <t>Tiempo: 16 dias</t>
  </si>
  <si>
    <t>Tiempo: 7 dias</t>
  </si>
  <si>
    <t>Tiempo: 23 dias</t>
  </si>
  <si>
    <t>Tiempo: 38 dias</t>
  </si>
  <si>
    <t>Tiempo: 60 dias</t>
  </si>
  <si>
    <t>Tiempo: 90 dias</t>
  </si>
  <si>
    <t>IER</t>
  </si>
  <si>
    <t>IEQ</t>
  </si>
  <si>
    <t>Tiempo (horas)</t>
  </si>
  <si>
    <t>sd</t>
  </si>
  <si>
    <t>SD</t>
  </si>
  <si>
    <t>0,056 ± 0,01</t>
  </si>
  <si>
    <t>0,050 ± 0,01</t>
  </si>
  <si>
    <t>0,065 ± 0,01</t>
  </si>
  <si>
    <t>0,074 ± 0,02</t>
  </si>
  <si>
    <t>0,076 ± 0,02</t>
  </si>
  <si>
    <t>0,089 ± 0,02</t>
  </si>
  <si>
    <t>0,103 ± 0,02</t>
  </si>
  <si>
    <t>0,119 ± 0,02</t>
  </si>
  <si>
    <t>0,125 ± 0,02</t>
  </si>
  <si>
    <t>0,282 ± 0,03</t>
  </si>
  <si>
    <t>0,366 ± 0,04</t>
  </si>
  <si>
    <t>0,414 ± 0,02</t>
  </si>
  <si>
    <t>0,324 ± 0,04</t>
  </si>
  <si>
    <t>0,418 ± 0,05</t>
  </si>
  <si>
    <t>0,470 ± 0,02</t>
  </si>
  <si>
    <t>±</t>
  </si>
  <si>
    <t>0,602 ± 0,04</t>
  </si>
  <si>
    <t>0,753 ± 0,06</t>
  </si>
  <si>
    <t>0,709 ± 0,02</t>
  </si>
  <si>
    <t>0,646 ± 0,03</t>
  </si>
  <si>
    <t>0,771 ± 0,06</t>
  </si>
  <si>
    <t>0,722 ± 0,03</t>
  </si>
  <si>
    <t>0,665 ± 0,02</t>
  </si>
  <si>
    <t>0,784 ± 0,06</t>
  </si>
  <si>
    <t xml:space="preserve">0,731 ± 0,03 </t>
  </si>
  <si>
    <t>0,679 ± 0,02</t>
  </si>
  <si>
    <t>0,793 ± 0,06</t>
  </si>
  <si>
    <t>0,740 ± 0,03</t>
  </si>
  <si>
    <t>0,702 ± 0,02</t>
  </si>
  <si>
    <t>0,805 ± 0,06</t>
  </si>
  <si>
    <t>0,753 ± 0,03</t>
  </si>
  <si>
    <t>0,712 ± 0,01</t>
  </si>
  <si>
    <t>0,812 ± 0,06</t>
  </si>
  <si>
    <t>0,759 ± 0,03</t>
  </si>
  <si>
    <t>0,729 ± 0,01</t>
  </si>
  <si>
    <t>0,829 ± 0,06</t>
  </si>
  <si>
    <t>0,771 ± 0,03</t>
  </si>
  <si>
    <t>0,735 ± 0,01</t>
  </si>
  <si>
    <t>0,835 ± 0,07</t>
  </si>
  <si>
    <t>0,779 ± 0,03</t>
  </si>
  <si>
    <t>DIETA IER</t>
  </si>
  <si>
    <t>0,743 ± 0,01</t>
  </si>
  <si>
    <t>0,842 ± 0,06</t>
  </si>
  <si>
    <t>0,784 ± 0,03</t>
  </si>
  <si>
    <t>0,847 ± 0,07</t>
  </si>
  <si>
    <t>0,805 ± 0,04</t>
  </si>
  <si>
    <t>% de exudado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</si>
</sst>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name val="Calibri Light"/>
      <family val="2"/>
      <scheme val="major"/>
    </font>
    <font>
      <sz val="12"/>
      <color rgb="FF000000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0" fontId="6" fillId="0" borderId="0" xfId="0" applyFont="1"/>
    <xf numFmtId="0" fontId="4" fillId="0" borderId="5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 readingOrder="1"/>
    </xf>
    <xf numFmtId="0" fontId="8" fillId="6" borderId="1" xfId="0" applyFont="1" applyFill="1" applyBorder="1" applyAlignment="1">
      <alignment horizontal="center" vertical="center" wrapText="1" readingOrder="1"/>
    </xf>
    <xf numFmtId="0" fontId="9" fillId="6" borderId="1" xfId="0" applyFont="1" applyFill="1" applyBorder="1" applyAlignment="1">
      <alignment horizontal="center" vertical="center" wrapText="1" readingOrder="1"/>
    </xf>
    <xf numFmtId="0" fontId="10" fillId="6" borderId="6" xfId="0" applyFont="1" applyFill="1" applyBorder="1" applyAlignment="1">
      <alignment horizontal="center" vertical="center" wrapText="1" readingOrder="1"/>
    </xf>
    <xf numFmtId="0" fontId="10" fillId="6" borderId="1" xfId="0" applyFont="1" applyFill="1" applyBorder="1" applyAlignment="1">
      <alignment horizontal="center" vertical="center" wrapText="1" readingOrder="1"/>
    </xf>
    <xf numFmtId="165" fontId="4" fillId="5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22</xdr:col>
      <xdr:colOff>219075</xdr:colOff>
      <xdr:row>50</xdr:row>
      <xdr:rowOff>66675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A98E5429-96EB-1507-F8DA-352335DF7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71725" y="542925"/>
          <a:ext cx="15240000" cy="857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7E6B-40AF-46F7-BE73-CA4D396A55F6}">
  <dimension ref="B2:Y126"/>
  <sheetViews>
    <sheetView topLeftCell="A92" zoomScale="90" zoomScaleNormal="90" workbookViewId="0">
      <selection activeCell="J109" sqref="J109"/>
    </sheetView>
  </sheetViews>
  <sheetFormatPr defaultColWidth="11.5703125" defaultRowHeight="15.75"/>
  <cols>
    <col min="1" max="2" width="11.5703125" style="2"/>
    <col min="3" max="3" width="18.85546875" style="2" bestFit="1" customWidth="1"/>
    <col min="4" max="4" width="20.7109375" style="2" bestFit="1" customWidth="1"/>
    <col min="5" max="5" width="12" style="2" bestFit="1" customWidth="1"/>
    <col min="6" max="6" width="11.5703125" style="2"/>
    <col min="7" max="7" width="11.28515625" style="2" bestFit="1" customWidth="1"/>
    <col min="8" max="8" width="10.7109375" style="2" bestFit="1" customWidth="1"/>
    <col min="9" max="9" width="11.5703125" style="2"/>
    <col min="10" max="10" width="9.42578125" style="2" bestFit="1" customWidth="1"/>
    <col min="11" max="11" width="12" style="2" bestFit="1" customWidth="1"/>
    <col min="12" max="13" width="11.5703125" style="2"/>
    <col min="14" max="14" width="15.140625" style="2" bestFit="1" customWidth="1"/>
    <col min="15" max="15" width="12.7109375" style="2" bestFit="1" customWidth="1"/>
    <col min="16" max="16" width="7.7109375" style="2" bestFit="1" customWidth="1"/>
    <col min="17" max="17" width="10.7109375" style="2" bestFit="1" customWidth="1"/>
    <col min="18" max="18" width="13.7109375" style="2" customWidth="1"/>
    <col min="19" max="16384" width="11.5703125" style="2"/>
  </cols>
  <sheetData>
    <row r="2" spans="3:25">
      <c r="C2" s="34" t="s">
        <v>0</v>
      </c>
      <c r="D2" s="1" t="s">
        <v>1</v>
      </c>
      <c r="E2" s="3" t="s">
        <v>2</v>
      </c>
      <c r="F2" s="3" t="s">
        <v>2</v>
      </c>
      <c r="G2" s="3" t="s">
        <v>2</v>
      </c>
      <c r="H2" s="11" t="s">
        <v>3</v>
      </c>
      <c r="I2" s="11" t="s">
        <v>3</v>
      </c>
      <c r="J2" s="11" t="s">
        <v>3</v>
      </c>
      <c r="K2" s="12" t="s">
        <v>4</v>
      </c>
      <c r="L2" s="12" t="s">
        <v>4</v>
      </c>
      <c r="M2" s="12" t="s">
        <v>4</v>
      </c>
      <c r="N2" s="13" t="s">
        <v>5</v>
      </c>
      <c r="O2" s="13" t="s">
        <v>5</v>
      </c>
      <c r="P2" s="13"/>
      <c r="Q2" s="13" t="s">
        <v>5</v>
      </c>
      <c r="R2" s="22"/>
    </row>
    <row r="3" spans="3:25">
      <c r="C3" s="34"/>
      <c r="D3" s="1" t="s">
        <v>6</v>
      </c>
      <c r="E3" s="4">
        <v>75.711799999999997</v>
      </c>
      <c r="F3" s="4">
        <v>79.045500000000004</v>
      </c>
      <c r="G3" s="4">
        <v>76.9191</v>
      </c>
      <c r="H3" s="8">
        <v>71.817999999999998</v>
      </c>
      <c r="I3" s="8">
        <v>79.004400000000004</v>
      </c>
      <c r="J3" s="8">
        <v>73.102900000000005</v>
      </c>
      <c r="K3" s="7">
        <v>79.120699999999999</v>
      </c>
      <c r="L3" s="7">
        <v>81.111900000000006</v>
      </c>
      <c r="M3" s="7">
        <v>77.263400000000004</v>
      </c>
      <c r="N3" s="14">
        <v>73.810900000000004</v>
      </c>
      <c r="O3" s="14">
        <v>80.930700000000002</v>
      </c>
      <c r="P3" s="14"/>
      <c r="Q3" s="14">
        <v>78.985100000000003</v>
      </c>
      <c r="R3" s="23"/>
      <c r="U3" s="17" t="s">
        <v>7</v>
      </c>
      <c r="V3" s="17" t="s">
        <v>2</v>
      </c>
      <c r="W3" s="17" t="s">
        <v>3</v>
      </c>
      <c r="X3" s="17" t="s">
        <v>8</v>
      </c>
      <c r="Y3" s="17" t="s">
        <v>9</v>
      </c>
    </row>
    <row r="4" spans="3:25">
      <c r="C4" s="34"/>
      <c r="D4" s="1" t="s">
        <v>10</v>
      </c>
      <c r="E4" s="4">
        <v>20.0335</v>
      </c>
      <c r="F4" s="4">
        <v>20.019500000000001</v>
      </c>
      <c r="G4" s="4">
        <v>20.027999999999999</v>
      </c>
      <c r="H4" s="8">
        <v>20.040500000000002</v>
      </c>
      <c r="I4" s="8">
        <v>20.016999999999999</v>
      </c>
      <c r="J4" s="8">
        <v>20.043500000000002</v>
      </c>
      <c r="K4" s="7">
        <v>20.007100000000001</v>
      </c>
      <c r="L4" s="7">
        <v>20.070799999999998</v>
      </c>
      <c r="M4" s="7">
        <v>20.013400000000001</v>
      </c>
      <c r="N4" s="14">
        <v>20.0273</v>
      </c>
      <c r="O4" s="14">
        <v>20.015999999999998</v>
      </c>
      <c r="P4" s="14"/>
      <c r="Q4" s="14">
        <v>20.071100000000001</v>
      </c>
      <c r="R4" s="23"/>
      <c r="U4" s="17">
        <v>8.3000000000000004E-2</v>
      </c>
      <c r="V4" s="18">
        <f>AVERAGE(E6:G6)</f>
        <v>4.2924991578739968E-2</v>
      </c>
      <c r="W4" s="17"/>
      <c r="X4" s="17"/>
      <c r="Y4" s="17"/>
    </row>
    <row r="5" spans="3:25">
      <c r="C5" s="34"/>
      <c r="D5" s="1" t="s">
        <v>11</v>
      </c>
      <c r="E5" s="4">
        <v>75.756200000000007</v>
      </c>
      <c r="F5" s="4">
        <v>79.077299999999994</v>
      </c>
      <c r="G5" s="4">
        <v>76.942099999999996</v>
      </c>
      <c r="H5" s="8">
        <v>71.863</v>
      </c>
      <c r="I5" s="8">
        <v>79.038499999999999</v>
      </c>
      <c r="J5" s="8">
        <v>73.135199999999998</v>
      </c>
      <c r="K5" s="7">
        <v>79.184399999999997</v>
      </c>
      <c r="L5" s="7">
        <v>81.157799999999995</v>
      </c>
      <c r="M5" s="7">
        <v>77.3078</v>
      </c>
      <c r="N5" s="14">
        <v>73.811599999999999</v>
      </c>
      <c r="O5" s="14">
        <v>80.926500000000004</v>
      </c>
      <c r="P5" s="14"/>
      <c r="Q5" s="14">
        <v>78.985900000000001</v>
      </c>
      <c r="R5" s="23"/>
      <c r="U5" s="17">
        <v>0.16700000000000001</v>
      </c>
      <c r="V5" s="17" t="e">
        <f>prom</f>
        <v>#NAME?</v>
      </c>
      <c r="W5" s="17"/>
      <c r="X5" s="17"/>
      <c r="Y5" s="17"/>
    </row>
    <row r="6" spans="3:25">
      <c r="C6" s="34"/>
      <c r="D6" s="1" t="s">
        <v>12</v>
      </c>
      <c r="E6" s="5">
        <f>(E5-E3)/(E3)*100</f>
        <v>5.8643434709002053E-2</v>
      </c>
      <c r="F6" s="5">
        <f t="shared" ref="F6:O6" si="0">(F5-F3)/(F3)*100</f>
        <v>4.0229994117299321E-2</v>
      </c>
      <c r="G6" s="5">
        <f t="shared" si="0"/>
        <v>2.9901545909918517E-2</v>
      </c>
      <c r="H6" s="9">
        <f t="shared" si="0"/>
        <v>6.2658386476930159E-2</v>
      </c>
      <c r="I6" s="9">
        <f t="shared" si="0"/>
        <v>4.3162152994004298E-2</v>
      </c>
      <c r="J6" s="9">
        <f t="shared" si="0"/>
        <v>4.4184293646342652E-2</v>
      </c>
      <c r="K6" s="10">
        <f t="shared" si="0"/>
        <v>8.0509904487696904E-2</v>
      </c>
      <c r="L6" s="10">
        <f t="shared" si="0"/>
        <v>5.6588490714665728E-2</v>
      </c>
      <c r="M6" s="10">
        <f t="shared" si="0"/>
        <v>5.7465759984670614E-2</v>
      </c>
      <c r="N6" s="15">
        <f t="shared" si="0"/>
        <v>9.4836941426647812E-4</v>
      </c>
      <c r="O6" s="15">
        <f t="shared" si="0"/>
        <v>-5.189625197851145E-3</v>
      </c>
      <c r="P6" s="15"/>
      <c r="Q6" s="15">
        <f>(Q5-Q3)/(Q3)*100</f>
        <v>1.0128492589084974E-3</v>
      </c>
      <c r="R6" s="24"/>
      <c r="U6" s="17">
        <v>0.25</v>
      </c>
      <c r="V6" s="17"/>
      <c r="W6" s="17"/>
      <c r="X6" s="17"/>
      <c r="Y6" s="17"/>
    </row>
    <row r="7" spans="3:25">
      <c r="C7" s="34" t="s">
        <v>13</v>
      </c>
      <c r="D7" s="1" t="s">
        <v>1</v>
      </c>
      <c r="E7" s="3" t="s">
        <v>2</v>
      </c>
      <c r="F7" s="3" t="s">
        <v>2</v>
      </c>
      <c r="G7" s="3" t="s">
        <v>2</v>
      </c>
      <c r="H7" s="11" t="s">
        <v>3</v>
      </c>
      <c r="I7" s="11" t="s">
        <v>3</v>
      </c>
      <c r="J7" s="11" t="s">
        <v>3</v>
      </c>
      <c r="K7" s="12" t="s">
        <v>4</v>
      </c>
      <c r="L7" s="12" t="s">
        <v>4</v>
      </c>
      <c r="M7" s="12" t="s">
        <v>4</v>
      </c>
      <c r="N7" s="13" t="s">
        <v>5</v>
      </c>
      <c r="O7" s="13" t="s">
        <v>5</v>
      </c>
      <c r="P7" s="13"/>
      <c r="Q7" s="13" t="s">
        <v>5</v>
      </c>
      <c r="R7" s="22"/>
      <c r="U7" s="17">
        <v>1</v>
      </c>
      <c r="V7" s="17"/>
      <c r="W7" s="17"/>
      <c r="X7" s="17"/>
      <c r="Y7" s="17"/>
    </row>
    <row r="8" spans="3:25">
      <c r="C8" s="34"/>
      <c r="D8" s="1" t="s">
        <v>6</v>
      </c>
      <c r="E8" s="4">
        <v>75.711799999999997</v>
      </c>
      <c r="F8" s="4">
        <v>79.045500000000004</v>
      </c>
      <c r="G8" s="4">
        <v>76.9191</v>
      </c>
      <c r="H8" s="8">
        <v>71.817999999999998</v>
      </c>
      <c r="I8" s="8">
        <v>79.004400000000004</v>
      </c>
      <c r="J8" s="8">
        <v>73.102900000000005</v>
      </c>
      <c r="K8" s="7">
        <v>79.120699999999999</v>
      </c>
      <c r="L8" s="7">
        <v>81.111900000000006</v>
      </c>
      <c r="M8" s="7">
        <v>77.263400000000004</v>
      </c>
      <c r="N8" s="14">
        <v>73.810900000000004</v>
      </c>
      <c r="O8" s="14">
        <v>80.930700000000002</v>
      </c>
      <c r="P8" s="14"/>
      <c r="Q8" s="14">
        <v>78.985100000000003</v>
      </c>
      <c r="R8" s="23"/>
      <c r="U8" s="17">
        <v>1.25</v>
      </c>
      <c r="V8" s="17"/>
      <c r="W8" s="17"/>
      <c r="X8" s="17"/>
      <c r="Y8" s="17"/>
    </row>
    <row r="9" spans="3:25">
      <c r="C9" s="34"/>
      <c r="D9" s="1" t="s">
        <v>10</v>
      </c>
      <c r="E9" s="4">
        <v>20.0335</v>
      </c>
      <c r="F9" s="4">
        <v>20.019500000000001</v>
      </c>
      <c r="G9" s="4">
        <v>20.027999999999999</v>
      </c>
      <c r="H9" s="8">
        <v>20.040500000000002</v>
      </c>
      <c r="I9" s="8">
        <v>20.016999999999999</v>
      </c>
      <c r="J9" s="8">
        <v>20.043500000000002</v>
      </c>
      <c r="K9" s="7">
        <v>20.007100000000001</v>
      </c>
      <c r="L9" s="7">
        <v>20.070799999999998</v>
      </c>
      <c r="M9" s="7">
        <v>20.013400000000001</v>
      </c>
      <c r="N9" s="14">
        <v>20.0273</v>
      </c>
      <c r="O9" s="14">
        <v>20.015999999999998</v>
      </c>
      <c r="P9" s="14"/>
      <c r="Q9" s="14">
        <v>20.071100000000001</v>
      </c>
      <c r="R9" s="23"/>
      <c r="U9" s="17">
        <v>4</v>
      </c>
      <c r="V9" s="17"/>
      <c r="W9" s="17"/>
      <c r="X9" s="17"/>
      <c r="Y9" s="17"/>
    </row>
    <row r="10" spans="3:25">
      <c r="C10" s="34"/>
      <c r="D10" s="1" t="s">
        <v>11</v>
      </c>
      <c r="E10" s="4">
        <v>75.784499999999994</v>
      </c>
      <c r="F10" s="4">
        <v>79.102800000000002</v>
      </c>
      <c r="G10" s="4">
        <v>76.961299999999994</v>
      </c>
      <c r="H10" s="8">
        <v>71.886799999999994</v>
      </c>
      <c r="I10" s="8">
        <v>79.054000000000002</v>
      </c>
      <c r="J10" s="8">
        <v>73.153099999999995</v>
      </c>
      <c r="K10" s="7">
        <v>79.208500000000001</v>
      </c>
      <c r="L10" s="7">
        <v>81.174099999999996</v>
      </c>
      <c r="M10" s="7">
        <v>77.323899999999995</v>
      </c>
      <c r="N10" s="14">
        <v>73.81</v>
      </c>
      <c r="O10" s="14">
        <v>80.932000000000002</v>
      </c>
      <c r="P10" s="14"/>
      <c r="Q10" s="14">
        <v>78.983699999999999</v>
      </c>
      <c r="R10" s="23"/>
      <c r="U10" s="17">
        <v>5</v>
      </c>
      <c r="V10" s="17"/>
      <c r="W10" s="17"/>
      <c r="X10" s="17"/>
      <c r="Y10" s="17"/>
    </row>
    <row r="11" spans="3:25">
      <c r="C11" s="34"/>
      <c r="D11" s="1" t="s">
        <v>12</v>
      </c>
      <c r="E11" s="5">
        <f t="shared" ref="E11:O11" si="1">(E10-E8)/(E8)*100</f>
        <v>9.6022020345570364E-2</v>
      </c>
      <c r="F11" s="5">
        <f t="shared" si="1"/>
        <v>7.2489895060437223E-2</v>
      </c>
      <c r="G11" s="5">
        <f t="shared" si="1"/>
        <v>5.4862836408634548E-2</v>
      </c>
      <c r="H11" s="9">
        <f t="shared" si="1"/>
        <v>9.5797710880275097E-2</v>
      </c>
      <c r="I11" s="9">
        <f t="shared" si="1"/>
        <v>6.2781313445830975E-2</v>
      </c>
      <c r="J11" s="9">
        <f t="shared" si="1"/>
        <v>6.8670326348188079E-2</v>
      </c>
      <c r="K11" s="10">
        <f t="shared" si="1"/>
        <v>0.11096969566750728</v>
      </c>
      <c r="L11" s="10">
        <f t="shared" si="1"/>
        <v>7.6684185674346234E-2</v>
      </c>
      <c r="M11" s="10">
        <f t="shared" si="1"/>
        <v>7.8303569348476057E-2</v>
      </c>
      <c r="N11" s="15">
        <f t="shared" si="1"/>
        <v>-1.2193321040679021E-3</v>
      </c>
      <c r="O11" s="15">
        <f t="shared" si="1"/>
        <v>1.6063125612413125E-3</v>
      </c>
      <c r="P11" s="15"/>
      <c r="Q11" s="15">
        <f>(Q10-Q8)/(Q8)*100</f>
        <v>-1.7724862030988663E-3</v>
      </c>
      <c r="R11" s="24"/>
      <c r="U11" s="17">
        <v>6</v>
      </c>
      <c r="V11" s="17"/>
      <c r="W11" s="17"/>
      <c r="X11" s="17"/>
      <c r="Y11" s="17"/>
    </row>
    <row r="12" spans="3:25">
      <c r="C12" s="34" t="s">
        <v>14</v>
      </c>
      <c r="D12" s="1" t="s">
        <v>1</v>
      </c>
      <c r="E12" s="3" t="s">
        <v>2</v>
      </c>
      <c r="F12" s="3" t="s">
        <v>2</v>
      </c>
      <c r="G12" s="3" t="s">
        <v>2</v>
      </c>
      <c r="H12" s="11" t="s">
        <v>3</v>
      </c>
      <c r="I12" s="11" t="s">
        <v>3</v>
      </c>
      <c r="J12" s="11" t="s">
        <v>3</v>
      </c>
      <c r="K12" s="12" t="s">
        <v>4</v>
      </c>
      <c r="L12" s="12" t="s">
        <v>4</v>
      </c>
      <c r="M12" s="12" t="s">
        <v>4</v>
      </c>
      <c r="N12" s="13" t="s">
        <v>5</v>
      </c>
      <c r="O12" s="13" t="s">
        <v>5</v>
      </c>
      <c r="P12" s="13"/>
      <c r="Q12" s="13" t="s">
        <v>5</v>
      </c>
      <c r="R12" s="22"/>
      <c r="U12" s="17">
        <v>7</v>
      </c>
      <c r="V12" s="17"/>
      <c r="W12" s="17"/>
      <c r="X12" s="17"/>
      <c r="Y12" s="17"/>
    </row>
    <row r="13" spans="3:25">
      <c r="C13" s="34"/>
      <c r="D13" s="1" t="s">
        <v>6</v>
      </c>
      <c r="E13" s="4">
        <v>75.711799999999997</v>
      </c>
      <c r="F13" s="4">
        <v>79.045500000000004</v>
      </c>
      <c r="G13" s="4">
        <v>76.9191</v>
      </c>
      <c r="H13" s="8">
        <v>71.817999999999998</v>
      </c>
      <c r="I13" s="8">
        <v>79.004400000000004</v>
      </c>
      <c r="J13" s="8">
        <v>73.102900000000005</v>
      </c>
      <c r="K13" s="7">
        <v>79.120699999999999</v>
      </c>
      <c r="L13" s="7">
        <v>81.111900000000006</v>
      </c>
      <c r="M13" s="7">
        <v>77.263400000000004</v>
      </c>
      <c r="N13" s="14">
        <v>73.810900000000004</v>
      </c>
      <c r="O13" s="14">
        <v>80.930700000000002</v>
      </c>
      <c r="P13" s="14"/>
      <c r="Q13" s="14">
        <v>78.985100000000003</v>
      </c>
      <c r="R13" s="23"/>
      <c r="U13" s="17">
        <v>9</v>
      </c>
      <c r="V13" s="17"/>
      <c r="W13" s="17"/>
      <c r="X13" s="17"/>
      <c r="Y13" s="17"/>
    </row>
    <row r="14" spans="3:25">
      <c r="C14" s="34"/>
      <c r="D14" s="1" t="s">
        <v>10</v>
      </c>
      <c r="E14" s="4">
        <v>20.0335</v>
      </c>
      <c r="F14" s="4">
        <v>20.019500000000001</v>
      </c>
      <c r="G14" s="4">
        <v>20.027999999999999</v>
      </c>
      <c r="H14" s="8">
        <v>20.040500000000002</v>
      </c>
      <c r="I14" s="8">
        <v>20.016999999999999</v>
      </c>
      <c r="J14" s="8">
        <v>20.043500000000002</v>
      </c>
      <c r="K14" s="7">
        <v>20.007100000000001</v>
      </c>
      <c r="L14" s="7">
        <v>20.070799999999998</v>
      </c>
      <c r="M14" s="7">
        <v>20.013400000000001</v>
      </c>
      <c r="N14" s="14">
        <v>20.0273</v>
      </c>
      <c r="O14" s="14">
        <v>20.015999999999998</v>
      </c>
      <c r="P14" s="14"/>
      <c r="Q14" s="14">
        <v>20.071100000000001</v>
      </c>
      <c r="R14" s="23"/>
      <c r="U14" s="17">
        <v>16</v>
      </c>
      <c r="V14" s="17"/>
      <c r="W14" s="17"/>
      <c r="X14" s="17"/>
      <c r="Y14" s="17"/>
    </row>
    <row r="15" spans="3:25">
      <c r="C15" s="34"/>
      <c r="D15" s="1" t="s">
        <v>11</v>
      </c>
      <c r="E15" s="4">
        <v>75.809600000000003</v>
      </c>
      <c r="F15" s="4">
        <v>79.124499999999998</v>
      </c>
      <c r="G15" s="4">
        <v>76.9816</v>
      </c>
      <c r="H15" s="8">
        <v>71.920299999999997</v>
      </c>
      <c r="I15" s="8">
        <v>79.089699999999993</v>
      </c>
      <c r="J15" s="8">
        <v>73.180999999999997</v>
      </c>
      <c r="K15" s="7">
        <v>79.234999999999999</v>
      </c>
      <c r="L15" s="7">
        <v>81.203699999999998</v>
      </c>
      <c r="M15" s="7">
        <v>77.353099999999998</v>
      </c>
      <c r="N15" s="14">
        <v>73.814599999999999</v>
      </c>
      <c r="O15" s="14">
        <v>80.931700000000006</v>
      </c>
      <c r="P15" s="14"/>
      <c r="Q15" s="14">
        <v>78.989699999999999</v>
      </c>
      <c r="R15" s="23"/>
      <c r="U15" s="17">
        <v>23</v>
      </c>
      <c r="V15" s="17"/>
      <c r="W15" s="17"/>
      <c r="X15" s="17"/>
      <c r="Y15" s="17"/>
    </row>
    <row r="16" spans="3:25">
      <c r="C16" s="34"/>
      <c r="D16" s="1" t="s">
        <v>12</v>
      </c>
      <c r="E16" s="5">
        <f t="shared" ref="E16:O16" si="2">(E15-E13)/(E13)*100</f>
        <v>0.12917405212926725</v>
      </c>
      <c r="F16" s="5">
        <f t="shared" si="2"/>
        <v>9.9942438215956012E-2</v>
      </c>
      <c r="G16" s="5">
        <f t="shared" si="2"/>
        <v>8.125420084218353E-2</v>
      </c>
      <c r="H16" s="9">
        <f t="shared" si="2"/>
        <v>0.14244339859088198</v>
      </c>
      <c r="I16" s="9">
        <f t="shared" si="2"/>
        <v>0.10796867009937358</v>
      </c>
      <c r="J16" s="9">
        <f t="shared" si="2"/>
        <v>0.10683570692816846</v>
      </c>
      <c r="K16" s="10">
        <f t="shared" si="2"/>
        <v>0.14446282704778909</v>
      </c>
      <c r="L16" s="10">
        <f t="shared" si="2"/>
        <v>0.11317698142934898</v>
      </c>
      <c r="M16" s="10">
        <f t="shared" si="2"/>
        <v>0.11609636645551899</v>
      </c>
      <c r="N16" s="15">
        <f t="shared" si="2"/>
        <v>5.0128097611530677E-3</v>
      </c>
      <c r="O16" s="15">
        <f t="shared" si="2"/>
        <v>1.2356250471141049E-3</v>
      </c>
      <c r="P16" s="15"/>
      <c r="Q16" s="15">
        <f>(Q15-Q13)/(Q13)*100</f>
        <v>5.8238832387328549E-3</v>
      </c>
      <c r="R16" s="24"/>
      <c r="U16" s="17">
        <v>38</v>
      </c>
      <c r="V16" s="17"/>
      <c r="W16" s="17"/>
      <c r="X16" s="17"/>
      <c r="Y16" s="17"/>
    </row>
    <row r="17" spans="3:25">
      <c r="C17" s="34" t="s">
        <v>15</v>
      </c>
      <c r="D17" s="1" t="s">
        <v>1</v>
      </c>
      <c r="E17" s="3" t="s">
        <v>2</v>
      </c>
      <c r="F17" s="3" t="s">
        <v>2</v>
      </c>
      <c r="G17" s="3" t="s">
        <v>2</v>
      </c>
      <c r="H17" s="11" t="s">
        <v>3</v>
      </c>
      <c r="I17" s="11" t="s">
        <v>3</v>
      </c>
      <c r="J17" s="11" t="s">
        <v>3</v>
      </c>
      <c r="K17" s="12" t="s">
        <v>4</v>
      </c>
      <c r="L17" s="12" t="s">
        <v>4</v>
      </c>
      <c r="M17" s="12" t="s">
        <v>4</v>
      </c>
      <c r="N17" s="13" t="s">
        <v>5</v>
      </c>
      <c r="O17" s="13" t="s">
        <v>5</v>
      </c>
      <c r="P17" s="13"/>
      <c r="Q17" s="13" t="s">
        <v>5</v>
      </c>
      <c r="R17" s="22"/>
      <c r="U17" s="17">
        <v>60</v>
      </c>
      <c r="V17" s="17"/>
      <c r="W17" s="17"/>
      <c r="X17" s="17"/>
      <c r="Y17" s="17"/>
    </row>
    <row r="18" spans="3:25">
      <c r="C18" s="34"/>
      <c r="D18" s="1" t="s">
        <v>6</v>
      </c>
      <c r="E18" s="4">
        <v>75.711799999999997</v>
      </c>
      <c r="F18" s="4">
        <v>79.045500000000004</v>
      </c>
      <c r="G18" s="4">
        <v>76.9191</v>
      </c>
      <c r="H18" s="8">
        <v>71.817999999999998</v>
      </c>
      <c r="I18" s="8">
        <v>79.004400000000004</v>
      </c>
      <c r="J18" s="8">
        <v>73.102900000000005</v>
      </c>
      <c r="K18" s="7">
        <v>79.120699999999999</v>
      </c>
      <c r="L18" s="7">
        <v>81.111900000000006</v>
      </c>
      <c r="M18" s="7">
        <v>77.263400000000004</v>
      </c>
      <c r="N18" s="14">
        <v>73.810900000000004</v>
      </c>
      <c r="O18" s="14">
        <v>80.930700000000002</v>
      </c>
      <c r="P18" s="14"/>
      <c r="Q18" s="14">
        <v>78.985100000000003</v>
      </c>
      <c r="R18" s="23"/>
      <c r="U18" s="17">
        <v>90</v>
      </c>
      <c r="V18" s="17"/>
      <c r="W18" s="17"/>
      <c r="X18" s="17"/>
      <c r="Y18" s="17"/>
    </row>
    <row r="19" spans="3:25">
      <c r="C19" s="34"/>
      <c r="D19" s="1" t="s">
        <v>10</v>
      </c>
      <c r="E19" s="4">
        <v>20.0335</v>
      </c>
      <c r="F19" s="4">
        <v>20.019500000000001</v>
      </c>
      <c r="G19" s="4">
        <v>20.027999999999999</v>
      </c>
      <c r="H19" s="8">
        <v>20.040500000000002</v>
      </c>
      <c r="I19" s="8">
        <v>20.016999999999999</v>
      </c>
      <c r="J19" s="8">
        <v>20.043500000000002</v>
      </c>
      <c r="K19" s="7">
        <v>20.007100000000001</v>
      </c>
      <c r="L19" s="7">
        <v>20.070799999999998</v>
      </c>
      <c r="M19" s="7">
        <v>20.013400000000001</v>
      </c>
      <c r="N19" s="14">
        <v>20.0273</v>
      </c>
      <c r="O19" s="14">
        <v>20.015999999999998</v>
      </c>
      <c r="P19" s="14"/>
      <c r="Q19" s="14">
        <v>20.071100000000001</v>
      </c>
      <c r="R19" s="23"/>
    </row>
    <row r="20" spans="3:25">
      <c r="C20" s="34"/>
      <c r="D20" s="1" t="s">
        <v>11</v>
      </c>
      <c r="E20" s="4">
        <v>75.950400000000002</v>
      </c>
      <c r="F20" s="4">
        <v>79.250200000000007</v>
      </c>
      <c r="G20" s="4">
        <v>77.127700000000004</v>
      </c>
      <c r="H20" s="8">
        <v>72.107500000000002</v>
      </c>
      <c r="I20" s="8">
        <v>79.254199999999997</v>
      </c>
      <c r="J20" s="8">
        <v>73.380300000000005</v>
      </c>
      <c r="K20" s="7">
        <v>79.447999999999993</v>
      </c>
      <c r="L20" s="7">
        <v>81.427000000000007</v>
      </c>
      <c r="M20" s="7">
        <v>77.602400000000003</v>
      </c>
      <c r="N20" s="14">
        <v>73.808700000000002</v>
      </c>
      <c r="O20" s="14">
        <v>80.926599999999993</v>
      </c>
      <c r="P20" s="14"/>
      <c r="Q20" s="14">
        <v>78.899000000000001</v>
      </c>
      <c r="R20" s="23"/>
    </row>
    <row r="21" spans="3:25">
      <c r="C21" s="34"/>
      <c r="D21" s="1" t="s">
        <v>12</v>
      </c>
      <c r="E21" s="5">
        <f t="shared" ref="E21:O21" si="3">(E20-E18)/(E18)*100</f>
        <v>0.3151424216568689</v>
      </c>
      <c r="F21" s="5">
        <f t="shared" si="3"/>
        <v>0.25896477345326746</v>
      </c>
      <c r="G21" s="5">
        <f t="shared" si="3"/>
        <v>0.27119402073087712</v>
      </c>
      <c r="H21" s="9">
        <f t="shared" si="3"/>
        <v>0.40310228633490752</v>
      </c>
      <c r="I21" s="9">
        <f t="shared" si="3"/>
        <v>0.31618492134614445</v>
      </c>
      <c r="J21" s="9">
        <f t="shared" si="3"/>
        <v>0.37946511013926953</v>
      </c>
      <c r="K21" s="10">
        <f t="shared" si="3"/>
        <v>0.413671769840249</v>
      </c>
      <c r="L21" s="10">
        <f t="shared" si="3"/>
        <v>0.38847567372974989</v>
      </c>
      <c r="M21" s="10">
        <f t="shared" si="3"/>
        <v>0.43875884312623908</v>
      </c>
      <c r="N21" s="15">
        <f t="shared" si="3"/>
        <v>-2.9805895877193993E-3</v>
      </c>
      <c r="O21" s="15">
        <f t="shared" si="3"/>
        <v>-5.0660626931537823E-3</v>
      </c>
      <c r="P21" s="15"/>
      <c r="Q21" s="15">
        <f>(Q20-Q18)/(Q18)*100</f>
        <v>-0.1090079014902834</v>
      </c>
      <c r="R21" s="24"/>
    </row>
    <row r="22" spans="3:25">
      <c r="C22" s="34" t="s">
        <v>16</v>
      </c>
      <c r="D22" s="1" t="s">
        <v>1</v>
      </c>
      <c r="E22" s="3" t="s">
        <v>2</v>
      </c>
      <c r="F22" s="3" t="s">
        <v>2</v>
      </c>
      <c r="G22" s="3" t="s">
        <v>2</v>
      </c>
      <c r="H22" s="11" t="s">
        <v>3</v>
      </c>
      <c r="I22" s="11" t="s">
        <v>3</v>
      </c>
      <c r="J22" s="11" t="s">
        <v>3</v>
      </c>
      <c r="K22" s="12" t="s">
        <v>4</v>
      </c>
      <c r="L22" s="12" t="s">
        <v>4</v>
      </c>
      <c r="M22" s="12" t="s">
        <v>4</v>
      </c>
      <c r="N22" s="13" t="s">
        <v>5</v>
      </c>
      <c r="O22" s="13" t="s">
        <v>5</v>
      </c>
      <c r="P22" s="13"/>
      <c r="Q22" s="13" t="s">
        <v>5</v>
      </c>
      <c r="R22" s="22"/>
    </row>
    <row r="23" spans="3:25">
      <c r="C23" s="34"/>
      <c r="D23" s="1" t="s">
        <v>6</v>
      </c>
      <c r="E23" s="4">
        <v>75.711799999999997</v>
      </c>
      <c r="F23" s="4">
        <v>79.045500000000004</v>
      </c>
      <c r="G23" s="4">
        <v>76.9191</v>
      </c>
      <c r="H23" s="8">
        <v>71.817999999999998</v>
      </c>
      <c r="I23" s="8">
        <v>79.004400000000004</v>
      </c>
      <c r="J23" s="8">
        <v>73.102900000000005</v>
      </c>
      <c r="K23" s="7">
        <v>79.120699999999999</v>
      </c>
      <c r="L23" s="7">
        <v>81.111900000000006</v>
      </c>
      <c r="M23" s="7">
        <v>77.263400000000004</v>
      </c>
      <c r="N23" s="14">
        <v>73.810900000000004</v>
      </c>
      <c r="O23" s="14">
        <v>80.930700000000002</v>
      </c>
      <c r="P23" s="14"/>
      <c r="Q23" s="14">
        <v>78.985100000000003</v>
      </c>
      <c r="R23" s="23"/>
    </row>
    <row r="24" spans="3:25">
      <c r="C24" s="34"/>
      <c r="D24" s="1" t="s">
        <v>10</v>
      </c>
      <c r="E24" s="4">
        <v>20.0335</v>
      </c>
      <c r="F24" s="4">
        <v>20.019500000000001</v>
      </c>
      <c r="G24" s="4">
        <v>20.027999999999999</v>
      </c>
      <c r="H24" s="8">
        <v>20.040500000000002</v>
      </c>
      <c r="I24" s="8">
        <v>20.016999999999999</v>
      </c>
      <c r="J24" s="8">
        <v>20.043500000000002</v>
      </c>
      <c r="K24" s="7">
        <v>20.007100000000001</v>
      </c>
      <c r="L24" s="7">
        <v>20.070799999999998</v>
      </c>
      <c r="M24" s="7">
        <v>20.013400000000001</v>
      </c>
      <c r="N24" s="14">
        <v>20.0273</v>
      </c>
      <c r="O24" s="14">
        <v>20.015999999999998</v>
      </c>
      <c r="P24" s="14"/>
      <c r="Q24" s="14">
        <v>20.071100000000001</v>
      </c>
      <c r="R24" s="23"/>
    </row>
    <row r="25" spans="3:25">
      <c r="C25" s="34"/>
      <c r="D25" s="1" t="s">
        <v>11</v>
      </c>
      <c r="E25" s="4">
        <v>75.989000000000004</v>
      </c>
      <c r="F25" s="4">
        <v>79.282700000000006</v>
      </c>
      <c r="G25" s="4">
        <v>77.153999999999996</v>
      </c>
      <c r="H25" s="8">
        <v>72.151799999999994</v>
      </c>
      <c r="I25" s="8">
        <v>79.291899999999998</v>
      </c>
      <c r="J25" s="8">
        <v>73.413700000000006</v>
      </c>
      <c r="K25" s="7">
        <v>79.488799999999998</v>
      </c>
      <c r="L25" s="7">
        <v>81.48</v>
      </c>
      <c r="M25" s="7">
        <v>77.642700000000005</v>
      </c>
      <c r="N25" s="14">
        <v>73.807699999999997</v>
      </c>
      <c r="O25" s="14">
        <v>80.926100000000005</v>
      </c>
      <c r="P25" s="14"/>
      <c r="Q25" s="14">
        <v>78.981700000000004</v>
      </c>
      <c r="R25" s="23"/>
    </row>
    <row r="26" spans="3:25">
      <c r="C26" s="34"/>
      <c r="D26" s="1" t="s">
        <v>12</v>
      </c>
      <c r="E26" s="5">
        <f t="shared" ref="E26:O26" si="4">(E25-E23)/(E23)*100</f>
        <v>0.36612522750747928</v>
      </c>
      <c r="F26" s="5">
        <f t="shared" si="4"/>
        <v>0.3000803334788209</v>
      </c>
      <c r="G26" s="5">
        <f t="shared" si="4"/>
        <v>0.30538578844525754</v>
      </c>
      <c r="H26" s="9">
        <f t="shared" si="4"/>
        <v>0.4647859867999618</v>
      </c>
      <c r="I26" s="9">
        <f t="shared" si="4"/>
        <v>0.36390378257412792</v>
      </c>
      <c r="J26" s="9">
        <f t="shared" si="4"/>
        <v>0.4251541320522173</v>
      </c>
      <c r="K26" s="10">
        <f t="shared" si="4"/>
        <v>0.46523855324838925</v>
      </c>
      <c r="L26" s="10">
        <f t="shared" si="4"/>
        <v>0.45381750396674014</v>
      </c>
      <c r="M26" s="10">
        <f t="shared" si="4"/>
        <v>0.49091808022944966</v>
      </c>
      <c r="N26" s="15">
        <f t="shared" si="4"/>
        <v>-4.3354030366880136E-3</v>
      </c>
      <c r="O26" s="15">
        <f t="shared" si="4"/>
        <v>-5.6838752166932759E-3</v>
      </c>
      <c r="P26" s="15"/>
      <c r="Q26" s="15">
        <f>(Q25-Q23)/(Q23)*100</f>
        <v>-4.3046093503701097E-3</v>
      </c>
      <c r="R26" s="24"/>
    </row>
    <row r="27" spans="3:25">
      <c r="C27" s="34" t="s">
        <v>17</v>
      </c>
      <c r="D27" s="1" t="s">
        <v>1</v>
      </c>
      <c r="E27" s="3" t="s">
        <v>2</v>
      </c>
      <c r="F27" s="3" t="s">
        <v>2</v>
      </c>
      <c r="G27" s="3" t="s">
        <v>2</v>
      </c>
      <c r="H27" s="11" t="s">
        <v>3</v>
      </c>
      <c r="I27" s="11" t="s">
        <v>3</v>
      </c>
      <c r="J27" s="11" t="s">
        <v>3</v>
      </c>
      <c r="K27" s="12" t="s">
        <v>4</v>
      </c>
      <c r="L27" s="12" t="s">
        <v>4</v>
      </c>
      <c r="M27" s="12" t="s">
        <v>4</v>
      </c>
      <c r="N27" s="13" t="s">
        <v>5</v>
      </c>
      <c r="O27" s="13" t="s">
        <v>5</v>
      </c>
      <c r="P27" s="13"/>
      <c r="Q27" s="13" t="s">
        <v>5</v>
      </c>
      <c r="R27" s="22"/>
    </row>
    <row r="28" spans="3:25">
      <c r="C28" s="34"/>
      <c r="D28" s="1" t="s">
        <v>6</v>
      </c>
      <c r="E28" s="4">
        <v>75.711799999999997</v>
      </c>
      <c r="F28" s="4">
        <v>79.045500000000004</v>
      </c>
      <c r="G28" s="4">
        <v>76.9191</v>
      </c>
      <c r="H28" s="8">
        <v>71.817999999999998</v>
      </c>
      <c r="I28" s="8">
        <v>79.004400000000004</v>
      </c>
      <c r="J28" s="8">
        <v>73.102900000000005</v>
      </c>
      <c r="K28" s="7">
        <v>79.120699999999999</v>
      </c>
      <c r="L28" s="7">
        <v>81.111900000000006</v>
      </c>
      <c r="M28" s="7">
        <v>77.263400000000004</v>
      </c>
      <c r="N28" s="14">
        <v>73.810900000000004</v>
      </c>
      <c r="O28" s="14">
        <v>80.930700000000002</v>
      </c>
      <c r="P28" s="14"/>
      <c r="Q28" s="14">
        <v>78.985100000000003</v>
      </c>
      <c r="R28" s="23"/>
    </row>
    <row r="29" spans="3:25">
      <c r="C29" s="34"/>
      <c r="D29" s="1" t="s">
        <v>10</v>
      </c>
      <c r="E29" s="4">
        <v>20.0335</v>
      </c>
      <c r="F29" s="4">
        <v>20.019500000000001</v>
      </c>
      <c r="G29" s="4">
        <v>20.027999999999999</v>
      </c>
      <c r="H29" s="8">
        <v>20.040500000000002</v>
      </c>
      <c r="I29" s="8">
        <v>20.016999999999999</v>
      </c>
      <c r="J29" s="8">
        <v>20.043500000000002</v>
      </c>
      <c r="K29" s="7">
        <v>20.007100000000001</v>
      </c>
      <c r="L29" s="7">
        <v>20.070799999999998</v>
      </c>
      <c r="M29" s="7">
        <v>20.013400000000001</v>
      </c>
      <c r="N29" s="14">
        <v>20.0273</v>
      </c>
      <c r="O29" s="14">
        <v>20.015999999999998</v>
      </c>
      <c r="P29" s="14"/>
      <c r="Q29" s="14">
        <v>20.071100000000001</v>
      </c>
      <c r="R29" s="23"/>
    </row>
    <row r="30" spans="3:25">
      <c r="C30" s="34"/>
      <c r="D30" s="1" t="s">
        <v>11</v>
      </c>
      <c r="E30" s="4">
        <v>76.190299999999993</v>
      </c>
      <c r="F30" s="4">
        <v>79.530600000000007</v>
      </c>
      <c r="G30" s="4">
        <v>77.3506</v>
      </c>
      <c r="H30" s="8">
        <v>72.397300000000001</v>
      </c>
      <c r="I30" s="8">
        <v>79.549300000000002</v>
      </c>
      <c r="J30" s="8">
        <v>73.660399999999996</v>
      </c>
      <c r="K30" s="7">
        <v>79.680400000000006</v>
      </c>
      <c r="L30" s="7">
        <v>81.670100000000005</v>
      </c>
      <c r="M30" s="7">
        <v>77.827600000000004</v>
      </c>
      <c r="N30" s="14">
        <v>73.799000000000007</v>
      </c>
      <c r="O30" s="14">
        <v>80.914900000000003</v>
      </c>
      <c r="P30" s="14"/>
      <c r="Q30" s="14">
        <v>78.970699999999994</v>
      </c>
      <c r="R30" s="23"/>
    </row>
    <row r="31" spans="3:25">
      <c r="C31" s="34"/>
      <c r="D31" s="1" t="s">
        <v>12</v>
      </c>
      <c r="E31" s="5">
        <f t="shared" ref="E31:O31" si="5">(E30-E28)/(E28)*100</f>
        <v>0.63200188081646036</v>
      </c>
      <c r="F31" s="5">
        <f t="shared" si="5"/>
        <v>0.61369717441220906</v>
      </c>
      <c r="G31" s="5">
        <f t="shared" si="5"/>
        <v>0.5609790026144349</v>
      </c>
      <c r="H31" s="9">
        <f t="shared" si="5"/>
        <v>0.8066222952463219</v>
      </c>
      <c r="I31" s="9">
        <f t="shared" si="5"/>
        <v>0.68970842130311516</v>
      </c>
      <c r="J31" s="9">
        <f t="shared" si="5"/>
        <v>0.76262364420562012</v>
      </c>
      <c r="K31" s="10">
        <f t="shared" si="5"/>
        <v>0.70740021258660057</v>
      </c>
      <c r="L31" s="10">
        <f t="shared" si="5"/>
        <v>0.68818508751490137</v>
      </c>
      <c r="M31" s="10">
        <f t="shared" si="5"/>
        <v>0.73022931944491132</v>
      </c>
      <c r="N31" s="15">
        <f t="shared" si="5"/>
        <v>-1.6122280042645647E-2</v>
      </c>
      <c r="O31" s="15">
        <f t="shared" si="5"/>
        <v>-1.9522875744308034E-2</v>
      </c>
      <c r="P31" s="15"/>
      <c r="Q31" s="15">
        <f>(Q30-Q28)/(Q28)*100</f>
        <v>-1.8231286660406926E-2</v>
      </c>
      <c r="R31" s="24"/>
    </row>
    <row r="32" spans="3:25">
      <c r="C32" s="34" t="s">
        <v>18</v>
      </c>
      <c r="D32" s="1" t="s">
        <v>1</v>
      </c>
      <c r="E32" s="3" t="s">
        <v>2</v>
      </c>
      <c r="F32" s="3" t="s">
        <v>2</v>
      </c>
      <c r="G32" s="3" t="s">
        <v>2</v>
      </c>
      <c r="H32" s="11" t="s">
        <v>3</v>
      </c>
      <c r="I32" s="11" t="s">
        <v>3</v>
      </c>
      <c r="J32" s="11" t="s">
        <v>3</v>
      </c>
      <c r="K32" s="12" t="s">
        <v>4</v>
      </c>
      <c r="L32" s="12" t="s">
        <v>4</v>
      </c>
      <c r="M32" s="12" t="s">
        <v>4</v>
      </c>
      <c r="N32" s="13" t="s">
        <v>5</v>
      </c>
      <c r="O32" s="13" t="s">
        <v>5</v>
      </c>
      <c r="P32" s="13"/>
      <c r="Q32" s="13" t="s">
        <v>5</v>
      </c>
      <c r="R32" s="22"/>
    </row>
    <row r="33" spans="3:18">
      <c r="C33" s="34"/>
      <c r="D33" s="1" t="s">
        <v>6</v>
      </c>
      <c r="E33" s="4">
        <v>75.711799999999997</v>
      </c>
      <c r="F33" s="4">
        <v>79.045500000000004</v>
      </c>
      <c r="G33" s="4">
        <v>76.9191</v>
      </c>
      <c r="H33" s="8">
        <v>71.817999999999998</v>
      </c>
      <c r="I33" s="8">
        <v>79.004400000000004</v>
      </c>
      <c r="J33" s="8">
        <v>73.102900000000005</v>
      </c>
      <c r="K33" s="7">
        <v>79.120699999999999</v>
      </c>
      <c r="L33" s="7">
        <v>81.111900000000006</v>
      </c>
      <c r="M33" s="7">
        <v>77.263400000000004</v>
      </c>
      <c r="N33" s="14">
        <v>73.810900000000004</v>
      </c>
      <c r="O33" s="14">
        <v>80.930700000000002</v>
      </c>
      <c r="P33" s="14"/>
      <c r="Q33" s="14">
        <v>78.985100000000003</v>
      </c>
      <c r="R33" s="23"/>
    </row>
    <row r="34" spans="3:18">
      <c r="C34" s="34"/>
      <c r="D34" s="1" t="s">
        <v>10</v>
      </c>
      <c r="E34" s="4">
        <v>20.0335</v>
      </c>
      <c r="F34" s="4">
        <v>20.019500000000001</v>
      </c>
      <c r="G34" s="4">
        <v>20.027999999999999</v>
      </c>
      <c r="H34" s="8">
        <v>20.040500000000002</v>
      </c>
      <c r="I34" s="8">
        <v>20.016999999999999</v>
      </c>
      <c r="J34" s="8">
        <v>20.043500000000002</v>
      </c>
      <c r="K34" s="7">
        <v>20.007100000000001</v>
      </c>
      <c r="L34" s="7">
        <v>20.070799999999998</v>
      </c>
      <c r="M34" s="7">
        <v>20.013400000000001</v>
      </c>
      <c r="N34" s="14">
        <v>20.0273</v>
      </c>
      <c r="O34" s="14">
        <v>20.015999999999998</v>
      </c>
      <c r="P34" s="14"/>
      <c r="Q34" s="14">
        <v>20.071100000000001</v>
      </c>
      <c r="R34" s="23"/>
    </row>
    <row r="35" spans="3:18">
      <c r="C35" s="34"/>
      <c r="D35" s="1" t="s">
        <v>11</v>
      </c>
      <c r="E35" s="4">
        <v>76.214799999999997</v>
      </c>
      <c r="F35" s="4">
        <v>79.564099999999996</v>
      </c>
      <c r="G35" s="4">
        <v>77.393100000000004</v>
      </c>
      <c r="H35" s="8">
        <v>72.410499999999999</v>
      </c>
      <c r="I35" s="8">
        <v>79.563299999999998</v>
      </c>
      <c r="J35" s="8">
        <v>73.673000000000002</v>
      </c>
      <c r="K35" s="7">
        <v>79.688299999999998</v>
      </c>
      <c r="L35" s="7">
        <v>81.678899999999999</v>
      </c>
      <c r="M35" s="7">
        <v>77.843000000000004</v>
      </c>
      <c r="N35" s="14">
        <v>73.798400000000001</v>
      </c>
      <c r="O35" s="14">
        <v>80.915300000000002</v>
      </c>
      <c r="P35" s="14"/>
      <c r="Q35" s="14">
        <v>78.970399999999998</v>
      </c>
      <c r="R35" s="23"/>
    </row>
    <row r="36" spans="3:18">
      <c r="C36" s="34"/>
      <c r="D36" s="1" t="s">
        <v>12</v>
      </c>
      <c r="E36" s="5">
        <f t="shared" ref="E36:O36" si="6">(E35-E33)/(E33)*100</f>
        <v>0.66436143375273093</v>
      </c>
      <c r="F36" s="5">
        <f t="shared" si="6"/>
        <v>0.65607782859238306</v>
      </c>
      <c r="G36" s="5">
        <f t="shared" si="6"/>
        <v>0.61623185918712486</v>
      </c>
      <c r="H36" s="9">
        <f t="shared" si="6"/>
        <v>0.82500208861288427</v>
      </c>
      <c r="I36" s="9">
        <f t="shared" si="6"/>
        <v>0.70742895332411126</v>
      </c>
      <c r="J36" s="9">
        <f t="shared" si="6"/>
        <v>0.77985962253206986</v>
      </c>
      <c r="K36" s="10">
        <f t="shared" si="6"/>
        <v>0.71738495741316588</v>
      </c>
      <c r="L36" s="10">
        <f t="shared" si="6"/>
        <v>0.69903429706367748</v>
      </c>
      <c r="M36" s="10">
        <f t="shared" si="6"/>
        <v>0.75016113709725329</v>
      </c>
      <c r="N36" s="15">
        <f t="shared" si="6"/>
        <v>-1.6935168112030666E-2</v>
      </c>
      <c r="O36" s="15">
        <f t="shared" si="6"/>
        <v>-1.9028625725465906E-2</v>
      </c>
      <c r="P36" s="15"/>
      <c r="Q36" s="15">
        <f>(Q35-Q33)/(Q33)*100</f>
        <v>-1.8611105132493116E-2</v>
      </c>
      <c r="R36" s="24"/>
    </row>
    <row r="37" spans="3:18">
      <c r="C37" s="34" t="s">
        <v>19</v>
      </c>
      <c r="D37" s="1" t="s">
        <v>1</v>
      </c>
      <c r="E37" s="3" t="s">
        <v>2</v>
      </c>
      <c r="F37" s="3" t="s">
        <v>2</v>
      </c>
      <c r="G37" s="3" t="s">
        <v>2</v>
      </c>
      <c r="H37" s="11" t="s">
        <v>3</v>
      </c>
      <c r="I37" s="11" t="s">
        <v>3</v>
      </c>
      <c r="J37" s="11" t="s">
        <v>3</v>
      </c>
      <c r="K37" s="12" t="s">
        <v>4</v>
      </c>
      <c r="L37" s="12" t="s">
        <v>4</v>
      </c>
      <c r="M37" s="12" t="s">
        <v>4</v>
      </c>
      <c r="N37" s="13" t="s">
        <v>5</v>
      </c>
      <c r="O37" s="13" t="s">
        <v>5</v>
      </c>
      <c r="P37" s="13"/>
      <c r="Q37" s="13" t="s">
        <v>5</v>
      </c>
      <c r="R37" s="22"/>
    </row>
    <row r="38" spans="3:18">
      <c r="C38" s="34"/>
      <c r="D38" s="1" t="s">
        <v>6</v>
      </c>
      <c r="E38" s="4">
        <v>75.711799999999997</v>
      </c>
      <c r="F38" s="4">
        <v>79.045500000000004</v>
      </c>
      <c r="G38" s="4">
        <v>76.9191</v>
      </c>
      <c r="H38" s="8">
        <v>71.817999999999998</v>
      </c>
      <c r="I38" s="8">
        <v>79.004400000000004</v>
      </c>
      <c r="J38" s="8">
        <v>73.102900000000005</v>
      </c>
      <c r="K38" s="7">
        <v>79.120699999999999</v>
      </c>
      <c r="L38" s="7">
        <v>81.111900000000006</v>
      </c>
      <c r="M38" s="7">
        <v>77.263400000000004</v>
      </c>
      <c r="N38" s="14">
        <v>73.810900000000004</v>
      </c>
      <c r="O38" s="14">
        <v>80.930700000000002</v>
      </c>
      <c r="P38" s="14"/>
      <c r="Q38" s="14">
        <v>78.985100000000003</v>
      </c>
      <c r="R38" s="23"/>
    </row>
    <row r="39" spans="3:18">
      <c r="C39" s="34"/>
      <c r="D39" s="1" t="s">
        <v>10</v>
      </c>
      <c r="E39" s="4">
        <v>20.0335</v>
      </c>
      <c r="F39" s="4">
        <v>20.019500000000001</v>
      </c>
      <c r="G39" s="4">
        <v>20.027999999999999</v>
      </c>
      <c r="H39" s="8">
        <v>20.040500000000002</v>
      </c>
      <c r="I39" s="8">
        <v>20.016999999999999</v>
      </c>
      <c r="J39" s="8">
        <v>20.043500000000002</v>
      </c>
      <c r="K39" s="7">
        <v>20.007100000000001</v>
      </c>
      <c r="L39" s="7">
        <v>20.070799999999998</v>
      </c>
      <c r="M39" s="7">
        <v>20.013400000000001</v>
      </c>
      <c r="N39" s="14">
        <v>20.0273</v>
      </c>
      <c r="O39" s="14">
        <v>20.015999999999998</v>
      </c>
      <c r="P39" s="14"/>
      <c r="Q39" s="14">
        <v>20.071100000000001</v>
      </c>
      <c r="R39" s="23"/>
    </row>
    <row r="40" spans="3:18">
      <c r="C40" s="34"/>
      <c r="D40" s="1" t="s">
        <v>11</v>
      </c>
      <c r="E40" s="4">
        <v>76.2256</v>
      </c>
      <c r="F40" s="4">
        <v>79.584400000000002</v>
      </c>
      <c r="G40" s="4">
        <v>77.406700000000001</v>
      </c>
      <c r="H40" s="8">
        <v>72.420299999999997</v>
      </c>
      <c r="I40" s="8">
        <v>79.570999999999998</v>
      </c>
      <c r="J40" s="8">
        <v>73.684299999999993</v>
      </c>
      <c r="K40" s="7">
        <v>79.693700000000007</v>
      </c>
      <c r="L40" s="7">
        <v>81.686599999999999</v>
      </c>
      <c r="M40" s="7">
        <v>77.851200000000006</v>
      </c>
      <c r="N40" s="14">
        <v>73.796599999999998</v>
      </c>
      <c r="O40" s="14">
        <v>80.910700000000006</v>
      </c>
      <c r="P40" s="14"/>
      <c r="Q40" s="14">
        <v>78.964100000000002</v>
      </c>
      <c r="R40" s="23"/>
    </row>
    <row r="41" spans="3:18">
      <c r="C41" s="34"/>
      <c r="D41" s="1" t="s">
        <v>12</v>
      </c>
      <c r="E41" s="5">
        <f t="shared" ref="E41:O41" si="7">(E40-E38)/(E38)*100</f>
        <v>0.67862605300627299</v>
      </c>
      <c r="F41" s="5">
        <f t="shared" si="7"/>
        <v>0.68175923993142951</v>
      </c>
      <c r="G41" s="5">
        <f t="shared" si="7"/>
        <v>0.63391277329037976</v>
      </c>
      <c r="H41" s="9">
        <f t="shared" si="7"/>
        <v>0.83864769277896856</v>
      </c>
      <c r="I41" s="9">
        <f t="shared" si="7"/>
        <v>0.71717524593566173</v>
      </c>
      <c r="J41" s="9">
        <f t="shared" si="7"/>
        <v>0.79531728563434267</v>
      </c>
      <c r="K41" s="10">
        <f t="shared" si="7"/>
        <v>0.72420997286425359</v>
      </c>
      <c r="L41" s="10">
        <f t="shared" si="7"/>
        <v>0.70852735541886314</v>
      </c>
      <c r="M41" s="10">
        <f t="shared" si="7"/>
        <v>0.76077418286019172</v>
      </c>
      <c r="N41" s="15">
        <f t="shared" si="7"/>
        <v>-1.9373832320166467E-2</v>
      </c>
      <c r="O41" s="15">
        <f t="shared" si="7"/>
        <v>-2.4712500942159182E-2</v>
      </c>
      <c r="P41" s="15"/>
      <c r="Q41" s="15">
        <f>(Q40-Q38)/(Q38)*100</f>
        <v>-2.6587293046411029E-2</v>
      </c>
      <c r="R41" s="24"/>
    </row>
    <row r="42" spans="3:18">
      <c r="C42" s="34" t="s">
        <v>20</v>
      </c>
      <c r="D42" s="1" t="s">
        <v>1</v>
      </c>
      <c r="E42" s="3" t="s">
        <v>2</v>
      </c>
      <c r="F42" s="3" t="s">
        <v>2</v>
      </c>
      <c r="G42" s="3" t="s">
        <v>2</v>
      </c>
      <c r="H42" s="11" t="s">
        <v>3</v>
      </c>
      <c r="I42" s="11" t="s">
        <v>3</v>
      </c>
      <c r="J42" s="11" t="s">
        <v>3</v>
      </c>
      <c r="K42" s="12" t="s">
        <v>4</v>
      </c>
      <c r="L42" s="12" t="s">
        <v>4</v>
      </c>
      <c r="M42" s="12" t="s">
        <v>4</v>
      </c>
      <c r="N42" s="13" t="s">
        <v>5</v>
      </c>
      <c r="O42" s="13" t="s">
        <v>5</v>
      </c>
      <c r="P42" s="13"/>
      <c r="Q42" s="13" t="s">
        <v>5</v>
      </c>
      <c r="R42" s="22"/>
    </row>
    <row r="43" spans="3:18">
      <c r="C43" s="34"/>
      <c r="D43" s="1" t="s">
        <v>6</v>
      </c>
      <c r="E43" s="4">
        <v>75.711799999999997</v>
      </c>
      <c r="F43" s="4">
        <v>79.045500000000004</v>
      </c>
      <c r="G43" s="4">
        <v>76.9191</v>
      </c>
      <c r="H43" s="8">
        <v>71.817999999999998</v>
      </c>
      <c r="I43" s="8">
        <v>79.004400000000004</v>
      </c>
      <c r="J43" s="8">
        <v>73.102900000000005</v>
      </c>
      <c r="K43" s="7">
        <v>79.120699999999999</v>
      </c>
      <c r="L43" s="7">
        <v>81.111900000000006</v>
      </c>
      <c r="M43" s="7">
        <v>77.263400000000004</v>
      </c>
      <c r="N43" s="14">
        <v>73.810900000000004</v>
      </c>
      <c r="O43" s="14">
        <v>80.930700000000002</v>
      </c>
      <c r="P43" s="14"/>
      <c r="Q43" s="14">
        <v>78.985100000000003</v>
      </c>
      <c r="R43" s="23"/>
    </row>
    <row r="44" spans="3:18">
      <c r="C44" s="34"/>
      <c r="D44" s="1" t="s">
        <v>10</v>
      </c>
      <c r="E44" s="4">
        <v>20.0335</v>
      </c>
      <c r="F44" s="4">
        <v>20.019500000000001</v>
      </c>
      <c r="G44" s="4">
        <v>20.027999999999999</v>
      </c>
      <c r="H44" s="8">
        <v>20.040500000000002</v>
      </c>
      <c r="I44" s="8">
        <v>20.016999999999999</v>
      </c>
      <c r="J44" s="8">
        <v>20.043500000000002</v>
      </c>
      <c r="K44" s="7">
        <v>20.007100000000001</v>
      </c>
      <c r="L44" s="7">
        <v>20.070799999999998</v>
      </c>
      <c r="M44" s="7">
        <v>20.013400000000001</v>
      </c>
      <c r="N44" s="14">
        <v>20.0273</v>
      </c>
      <c r="O44" s="14">
        <v>20.015999999999998</v>
      </c>
      <c r="P44" s="14"/>
      <c r="Q44" s="14">
        <v>20.071100000000001</v>
      </c>
      <c r="R44" s="23"/>
    </row>
    <row r="45" spans="3:18">
      <c r="C45" s="34"/>
      <c r="D45" s="1" t="s">
        <v>11</v>
      </c>
      <c r="E45" s="4">
        <v>76.246200000000002</v>
      </c>
      <c r="F45" s="4">
        <v>79.614000000000004</v>
      </c>
      <c r="G45" s="4">
        <v>77.4435</v>
      </c>
      <c r="H45" s="8">
        <v>72.432000000000002</v>
      </c>
      <c r="I45" s="8">
        <v>79.587299999999999</v>
      </c>
      <c r="J45" s="8">
        <v>73.704999999999998</v>
      </c>
      <c r="K45" s="7">
        <v>79.710400000000007</v>
      </c>
      <c r="L45" s="7">
        <v>81.704899999999995</v>
      </c>
      <c r="M45" s="7">
        <v>77.867900000000006</v>
      </c>
      <c r="N45" s="14">
        <v>73.797200000000004</v>
      </c>
      <c r="O45" s="14">
        <v>80.915400000000005</v>
      </c>
      <c r="P45" s="14"/>
      <c r="Q45" s="14">
        <v>78.968100000000007</v>
      </c>
      <c r="R45" s="23"/>
    </row>
    <row r="46" spans="3:18">
      <c r="C46" s="34"/>
      <c r="D46" s="1" t="s">
        <v>12</v>
      </c>
      <c r="E46" s="5">
        <f t="shared" ref="E46:O46" si="8">(E45-E43)/(E43)*100</f>
        <v>0.70583449343431948</v>
      </c>
      <c r="F46" s="5">
        <f t="shared" si="8"/>
        <v>0.71920602690855295</v>
      </c>
      <c r="G46" s="5">
        <f t="shared" si="8"/>
        <v>0.68175524674625676</v>
      </c>
      <c r="H46" s="9">
        <f t="shared" si="8"/>
        <v>0.85493887326297635</v>
      </c>
      <c r="I46" s="9">
        <f t="shared" si="8"/>
        <v>0.73780700821725753</v>
      </c>
      <c r="J46" s="9">
        <f t="shared" si="8"/>
        <v>0.82363353574207454</v>
      </c>
      <c r="K46" s="10">
        <f t="shared" si="8"/>
        <v>0.74531696509258338</v>
      </c>
      <c r="L46" s="10">
        <f t="shared" si="8"/>
        <v>0.73108877982144327</v>
      </c>
      <c r="M46" s="10">
        <f t="shared" si="8"/>
        <v>0.78238855654812178</v>
      </c>
      <c r="N46" s="15">
        <f t="shared" si="8"/>
        <v>-1.8560944250781447E-2</v>
      </c>
      <c r="O46" s="15">
        <f t="shared" si="8"/>
        <v>-1.8905063220750983E-2</v>
      </c>
      <c r="P46" s="15"/>
      <c r="Q46" s="15">
        <f>(Q45-Q43)/(Q43)*100</f>
        <v>-2.1523046751850548E-2</v>
      </c>
      <c r="R46" s="24"/>
    </row>
    <row r="47" spans="3:18">
      <c r="C47" s="34" t="s">
        <v>21</v>
      </c>
      <c r="D47" s="1" t="s">
        <v>1</v>
      </c>
      <c r="E47" s="3" t="s">
        <v>2</v>
      </c>
      <c r="F47" s="3" t="s">
        <v>2</v>
      </c>
      <c r="G47" s="3" t="s">
        <v>2</v>
      </c>
      <c r="H47" s="11" t="s">
        <v>3</v>
      </c>
      <c r="I47" s="11" t="s">
        <v>3</v>
      </c>
      <c r="J47" s="11" t="s">
        <v>3</v>
      </c>
      <c r="K47" s="12" t="s">
        <v>4</v>
      </c>
      <c r="L47" s="12" t="s">
        <v>4</v>
      </c>
      <c r="M47" s="12" t="s">
        <v>4</v>
      </c>
      <c r="N47" s="13" t="s">
        <v>5</v>
      </c>
      <c r="O47" s="13" t="s">
        <v>5</v>
      </c>
      <c r="P47" s="13"/>
      <c r="Q47" s="13" t="s">
        <v>5</v>
      </c>
      <c r="R47" s="22"/>
    </row>
    <row r="48" spans="3:18">
      <c r="C48" s="34"/>
      <c r="D48" s="1" t="s">
        <v>6</v>
      </c>
      <c r="E48" s="4">
        <v>75.711799999999997</v>
      </c>
      <c r="F48" s="4">
        <v>79.045500000000004</v>
      </c>
      <c r="G48" s="4">
        <v>76.9191</v>
      </c>
      <c r="H48" s="8">
        <v>71.817999999999998</v>
      </c>
      <c r="I48" s="8">
        <v>79.004400000000004</v>
      </c>
      <c r="J48" s="8">
        <v>73.102900000000005</v>
      </c>
      <c r="K48" s="7">
        <v>79.120699999999999</v>
      </c>
      <c r="L48" s="7">
        <v>81.111900000000006</v>
      </c>
      <c r="M48" s="7">
        <v>77.263400000000004</v>
      </c>
      <c r="N48" s="14">
        <v>73.810900000000004</v>
      </c>
      <c r="O48" s="14">
        <v>80.930700000000002</v>
      </c>
      <c r="P48" s="14"/>
      <c r="Q48" s="14">
        <v>78.985100000000003</v>
      </c>
      <c r="R48" s="23"/>
    </row>
    <row r="49" spans="3:18">
      <c r="C49" s="34"/>
      <c r="D49" s="1" t="s">
        <v>10</v>
      </c>
      <c r="E49" s="4">
        <v>20.0335</v>
      </c>
      <c r="F49" s="4">
        <v>20.019500000000001</v>
      </c>
      <c r="G49" s="4">
        <v>20.027999999999999</v>
      </c>
      <c r="H49" s="8">
        <v>20.040500000000002</v>
      </c>
      <c r="I49" s="8">
        <v>20.016999999999999</v>
      </c>
      <c r="J49" s="8">
        <v>20.043500000000002</v>
      </c>
      <c r="K49" s="7">
        <v>20.007100000000001</v>
      </c>
      <c r="L49" s="7">
        <v>20.070799999999998</v>
      </c>
      <c r="M49" s="7">
        <v>20.013400000000001</v>
      </c>
      <c r="N49" s="14">
        <v>20.0273</v>
      </c>
      <c r="O49" s="14">
        <v>20.015999999999998</v>
      </c>
      <c r="P49" s="14"/>
      <c r="Q49" s="14">
        <v>20.071100000000001</v>
      </c>
      <c r="R49" s="23"/>
    </row>
    <row r="50" spans="3:18">
      <c r="C50" s="34"/>
      <c r="D50" s="1" t="s">
        <v>11</v>
      </c>
      <c r="E50" s="4">
        <v>76.248800000000003</v>
      </c>
      <c r="F50" s="4">
        <v>79.62</v>
      </c>
      <c r="G50" s="4">
        <v>77.457499999999996</v>
      </c>
      <c r="H50" s="8">
        <v>72.435500000000005</v>
      </c>
      <c r="I50" s="8">
        <v>79.591499999999996</v>
      </c>
      <c r="J50" s="8">
        <v>73.712699999999998</v>
      </c>
      <c r="K50" s="7">
        <v>79.714600000000004</v>
      </c>
      <c r="L50" s="7">
        <v>81.709699999999998</v>
      </c>
      <c r="M50" s="7">
        <v>77.873199999999997</v>
      </c>
      <c r="N50" s="14">
        <v>73.797200000000004</v>
      </c>
      <c r="O50" s="14">
        <v>80.915199999999999</v>
      </c>
      <c r="P50" s="14"/>
      <c r="Q50" s="14">
        <v>78.967299999999994</v>
      </c>
      <c r="R50" s="23"/>
    </row>
    <row r="51" spans="3:18">
      <c r="C51" s="34"/>
      <c r="D51" s="1" t="s">
        <v>12</v>
      </c>
      <c r="E51" s="5">
        <f t="shared" ref="E51:O51" si="9">(E50-E48)/(E48)*100</f>
        <v>0.70926856843980224</v>
      </c>
      <c r="F51" s="5">
        <f t="shared" si="9"/>
        <v>0.72679659183634793</v>
      </c>
      <c r="G51" s="5">
        <f t="shared" si="9"/>
        <v>0.69995618773490043</v>
      </c>
      <c r="H51" s="9">
        <f t="shared" si="9"/>
        <v>0.8598123033222963</v>
      </c>
      <c r="I51" s="9">
        <f t="shared" si="9"/>
        <v>0.74312316782355459</v>
      </c>
      <c r="J51" s="9">
        <f t="shared" si="9"/>
        <v>0.83416663360823262</v>
      </c>
      <c r="K51" s="10">
        <f t="shared" si="9"/>
        <v>0.7506253104434174</v>
      </c>
      <c r="L51" s="10">
        <f t="shared" si="9"/>
        <v>0.73700653048442</v>
      </c>
      <c r="M51" s="10">
        <f t="shared" si="9"/>
        <v>0.78924820807781271</v>
      </c>
      <c r="N51" s="15">
        <f t="shared" si="9"/>
        <v>-1.8560944250781447E-2</v>
      </c>
      <c r="O51" s="15">
        <f t="shared" si="9"/>
        <v>-1.9152188230180826E-2</v>
      </c>
      <c r="P51" s="15"/>
      <c r="Q51" s="15">
        <f>(Q50-Q48)/(Q48)*100</f>
        <v>-2.2535896010777035E-2</v>
      </c>
      <c r="R51" s="24"/>
    </row>
    <row r="52" spans="3:18">
      <c r="C52" s="34" t="s">
        <v>22</v>
      </c>
      <c r="D52" s="1" t="s">
        <v>1</v>
      </c>
      <c r="E52" s="3" t="s">
        <v>2</v>
      </c>
      <c r="F52" s="3" t="s">
        <v>2</v>
      </c>
      <c r="G52" s="3" t="s">
        <v>2</v>
      </c>
      <c r="H52" s="11" t="s">
        <v>3</v>
      </c>
      <c r="I52" s="11" t="s">
        <v>3</v>
      </c>
      <c r="J52" s="11" t="s">
        <v>3</v>
      </c>
      <c r="K52" s="12" t="s">
        <v>4</v>
      </c>
      <c r="L52" s="12" t="s">
        <v>4</v>
      </c>
      <c r="M52" s="12" t="s">
        <v>4</v>
      </c>
      <c r="N52" s="13" t="s">
        <v>5</v>
      </c>
      <c r="O52" s="13" t="s">
        <v>5</v>
      </c>
      <c r="P52" s="13"/>
      <c r="Q52" s="13" t="s">
        <v>5</v>
      </c>
      <c r="R52" s="22"/>
    </row>
    <row r="53" spans="3:18">
      <c r="C53" s="34"/>
      <c r="D53" s="1" t="s">
        <v>6</v>
      </c>
      <c r="E53" s="4">
        <v>75.711799999999997</v>
      </c>
      <c r="F53" s="4">
        <v>79.045500000000004</v>
      </c>
      <c r="G53" s="4">
        <v>76.9191</v>
      </c>
      <c r="H53" s="8">
        <v>71.817999999999998</v>
      </c>
      <c r="I53" s="8">
        <v>79.004400000000004</v>
      </c>
      <c r="J53" s="8">
        <v>73.102900000000005</v>
      </c>
      <c r="K53" s="7">
        <v>79.120699999999999</v>
      </c>
      <c r="L53" s="7">
        <v>81.111900000000006</v>
      </c>
      <c r="M53" s="7">
        <v>77.263400000000004</v>
      </c>
      <c r="N53" s="14">
        <v>73.810900000000004</v>
      </c>
      <c r="O53" s="14">
        <v>80.930700000000002</v>
      </c>
      <c r="P53" s="14"/>
      <c r="Q53" s="14">
        <v>78.985100000000003</v>
      </c>
      <c r="R53" s="23"/>
    </row>
    <row r="54" spans="3:18">
      <c r="C54" s="34"/>
      <c r="D54" s="1" t="s">
        <v>10</v>
      </c>
      <c r="E54" s="4">
        <v>20.0335</v>
      </c>
      <c r="F54" s="4">
        <v>20.019500000000001</v>
      </c>
      <c r="G54" s="4">
        <v>20.027999999999999</v>
      </c>
      <c r="H54" s="8">
        <v>20.040500000000002</v>
      </c>
      <c r="I54" s="8">
        <v>20.016999999999999</v>
      </c>
      <c r="J54" s="8">
        <v>20.043500000000002</v>
      </c>
      <c r="K54" s="7">
        <v>20.007100000000001</v>
      </c>
      <c r="L54" s="7">
        <v>20.070799999999998</v>
      </c>
      <c r="M54" s="7">
        <v>20.013400000000001</v>
      </c>
      <c r="N54" s="14">
        <v>20.0273</v>
      </c>
      <c r="O54" s="14">
        <v>20.015999999999998</v>
      </c>
      <c r="P54" s="14"/>
      <c r="Q54" s="14">
        <v>20.071100000000001</v>
      </c>
      <c r="R54" s="23"/>
    </row>
    <row r="55" spans="3:18">
      <c r="C55" s="34"/>
      <c r="D55" s="1" t="s">
        <v>11</v>
      </c>
      <c r="E55" s="4">
        <v>76.233000000000004</v>
      </c>
      <c r="F55" s="4">
        <v>79.597300000000004</v>
      </c>
      <c r="G55" s="4">
        <v>77.42</v>
      </c>
      <c r="H55" s="8">
        <v>72.426000000000002</v>
      </c>
      <c r="I55" s="8">
        <v>79.578500000000005</v>
      </c>
      <c r="J55" s="8">
        <v>73.691800000000001</v>
      </c>
      <c r="K55" s="7">
        <v>79.699399999999997</v>
      </c>
      <c r="L55" s="7">
        <v>81.694699999999997</v>
      </c>
      <c r="M55" s="7">
        <v>77.858400000000003</v>
      </c>
      <c r="N55" s="14">
        <v>73.793000000000006</v>
      </c>
      <c r="O55" s="14">
        <v>80.913700000000006</v>
      </c>
      <c r="P55" s="14"/>
      <c r="Q55" s="14">
        <v>78.967500000000001</v>
      </c>
      <c r="R55" s="23"/>
    </row>
    <row r="56" spans="3:18">
      <c r="C56" s="34"/>
      <c r="D56" s="1" t="s">
        <v>12</v>
      </c>
      <c r="E56" s="5">
        <f>(E55-E53)/(E53)*100</f>
        <v>0.68839995879110971</v>
      </c>
      <c r="F56" s="5">
        <f t="shared" ref="F56:O56" si="10">(F55-F53)/(F53)*100</f>
        <v>0.69807895452619062</v>
      </c>
      <c r="G56" s="5">
        <f t="shared" si="10"/>
        <v>0.65120366722959766</v>
      </c>
      <c r="H56" s="9">
        <f t="shared" si="10"/>
        <v>0.84658442173271897</v>
      </c>
      <c r="I56" s="9">
        <f t="shared" si="10"/>
        <v>0.72666838808977896</v>
      </c>
      <c r="J56" s="9">
        <f t="shared" si="10"/>
        <v>0.80557679654294878</v>
      </c>
      <c r="K56" s="10">
        <f t="shared" si="10"/>
        <v>0.73141415584037772</v>
      </c>
      <c r="L56" s="10">
        <f t="shared" si="10"/>
        <v>0.71851355966262875</v>
      </c>
      <c r="M56" s="10">
        <f t="shared" si="10"/>
        <v>0.77009295474959538</v>
      </c>
      <c r="N56" s="15">
        <f t="shared" si="10"/>
        <v>-2.4251160736418823E-2</v>
      </c>
      <c r="O56" s="15">
        <f t="shared" si="10"/>
        <v>-2.1005625800834427E-2</v>
      </c>
      <c r="P56" s="15"/>
      <c r="Q56" s="15">
        <f>(Q55-Q53)/(Q53)*100</f>
        <v>-2.2282683696040917E-2</v>
      </c>
      <c r="R56" s="24"/>
    </row>
    <row r="57" spans="3:18">
      <c r="C57" s="34" t="s">
        <v>23</v>
      </c>
      <c r="D57" s="1" t="s">
        <v>1</v>
      </c>
      <c r="E57" s="3" t="s">
        <v>2</v>
      </c>
      <c r="F57" s="3" t="s">
        <v>2</v>
      </c>
      <c r="G57" s="3" t="s">
        <v>2</v>
      </c>
      <c r="H57" s="11" t="s">
        <v>3</v>
      </c>
      <c r="I57" s="11" t="s">
        <v>3</v>
      </c>
      <c r="J57" s="11" t="s">
        <v>3</v>
      </c>
      <c r="K57" s="12" t="s">
        <v>4</v>
      </c>
      <c r="L57" s="12" t="s">
        <v>4</v>
      </c>
      <c r="M57" s="12" t="s">
        <v>4</v>
      </c>
      <c r="N57" s="13" t="s">
        <v>5</v>
      </c>
      <c r="O57" s="13" t="s">
        <v>5</v>
      </c>
      <c r="P57" s="13"/>
      <c r="Q57" s="13" t="s">
        <v>5</v>
      </c>
      <c r="R57" s="22"/>
    </row>
    <row r="58" spans="3:18">
      <c r="C58" s="34"/>
      <c r="D58" s="1" t="s">
        <v>6</v>
      </c>
      <c r="E58" s="4">
        <v>75.711799999999997</v>
      </c>
      <c r="F58" s="4">
        <v>79.045500000000004</v>
      </c>
      <c r="G58" s="4">
        <v>76.9191</v>
      </c>
      <c r="H58" s="8">
        <v>71.817999999999998</v>
      </c>
      <c r="I58" s="8">
        <v>79.004400000000004</v>
      </c>
      <c r="J58" s="8">
        <v>73.102900000000005</v>
      </c>
      <c r="K58" s="7">
        <v>79.120699999999999</v>
      </c>
      <c r="L58" s="7">
        <v>81.111900000000006</v>
      </c>
      <c r="M58" s="7">
        <v>77.263400000000004</v>
      </c>
      <c r="N58" s="14">
        <v>73.810900000000004</v>
      </c>
      <c r="O58" s="14">
        <v>80.930700000000002</v>
      </c>
      <c r="P58" s="14"/>
      <c r="Q58" s="14">
        <v>78.985100000000003</v>
      </c>
      <c r="R58" s="23"/>
    </row>
    <row r="59" spans="3:18">
      <c r="C59" s="34"/>
      <c r="D59" s="1" t="s">
        <v>10</v>
      </c>
      <c r="E59" s="4">
        <v>20.0335</v>
      </c>
      <c r="F59" s="4">
        <v>20.019500000000001</v>
      </c>
      <c r="G59" s="4">
        <v>20.027999999999999</v>
      </c>
      <c r="H59" s="8">
        <v>20.040500000000002</v>
      </c>
      <c r="I59" s="8">
        <v>20.016999999999999</v>
      </c>
      <c r="J59" s="8">
        <v>20.043500000000002</v>
      </c>
      <c r="K59" s="7">
        <v>20.007100000000001</v>
      </c>
      <c r="L59" s="7">
        <v>20.070799999999998</v>
      </c>
      <c r="M59" s="7">
        <v>20.013400000000001</v>
      </c>
      <c r="N59" s="14">
        <v>20.0273</v>
      </c>
      <c r="O59" s="14">
        <v>20.015999999999998</v>
      </c>
      <c r="P59" s="14"/>
      <c r="Q59" s="14">
        <v>20.071100000000001</v>
      </c>
      <c r="R59" s="23"/>
    </row>
    <row r="60" spans="3:18">
      <c r="C60" s="34"/>
      <c r="D60" s="1" t="s">
        <v>11</v>
      </c>
      <c r="E60" s="4">
        <v>76.262699999999995</v>
      </c>
      <c r="F60" s="4">
        <v>79.632000000000005</v>
      </c>
      <c r="G60" s="4">
        <v>77.471199999999996</v>
      </c>
      <c r="H60" s="8">
        <v>72.449600000000004</v>
      </c>
      <c r="I60" s="8">
        <v>79.6023</v>
      </c>
      <c r="J60" s="8">
        <v>73.724100000000007</v>
      </c>
      <c r="K60" s="7">
        <v>79.723399999999998</v>
      </c>
      <c r="L60" s="7">
        <v>81.716099999999997</v>
      </c>
      <c r="M60" s="7">
        <v>77.886200000000002</v>
      </c>
      <c r="N60" s="14">
        <v>73.802400000000006</v>
      </c>
      <c r="O60" s="14">
        <v>80.921000000000006</v>
      </c>
      <c r="P60" s="14"/>
      <c r="Q60" s="14">
        <v>80.920900000000003</v>
      </c>
      <c r="R60" s="23"/>
    </row>
    <row r="61" spans="3:18">
      <c r="C61" s="34"/>
      <c r="D61" s="1" t="s">
        <v>12</v>
      </c>
      <c r="E61" s="5">
        <f t="shared" ref="E61:O61" si="11">(E60-E58)/(E58)*100</f>
        <v>0.72762766173832694</v>
      </c>
      <c r="F61" s="5">
        <f t="shared" si="11"/>
        <v>0.7419777216919381</v>
      </c>
      <c r="G61" s="5">
        <f t="shared" si="11"/>
        <v>0.71776710855950709</v>
      </c>
      <c r="H61" s="9">
        <f t="shared" si="11"/>
        <v>0.87944526441839921</v>
      </c>
      <c r="I61" s="9">
        <f t="shared" si="11"/>
        <v>0.756793292525474</v>
      </c>
      <c r="J61" s="9">
        <f t="shared" si="11"/>
        <v>0.84976109018931079</v>
      </c>
      <c r="K61" s="10">
        <f t="shared" si="11"/>
        <v>0.76174755784516401</v>
      </c>
      <c r="L61" s="10">
        <f t="shared" si="11"/>
        <v>0.74489686470171645</v>
      </c>
      <c r="M61" s="10">
        <f t="shared" si="11"/>
        <v>0.80607376843369305</v>
      </c>
      <c r="N61" s="15">
        <f t="shared" si="11"/>
        <v>-1.1515914316175461E-2</v>
      </c>
      <c r="O61" s="15">
        <f t="shared" si="11"/>
        <v>-1.1985562956943604E-2</v>
      </c>
      <c r="P61" s="15"/>
      <c r="Q61" s="15">
        <f>(Q60-Q58)/(Q58)*100</f>
        <v>2.450841994249549</v>
      </c>
      <c r="R61" s="24"/>
    </row>
    <row r="62" spans="3:18">
      <c r="C62" s="34" t="s">
        <v>24</v>
      </c>
      <c r="D62" s="1" t="s">
        <v>1</v>
      </c>
      <c r="E62" s="3" t="s">
        <v>2</v>
      </c>
      <c r="F62" s="3" t="s">
        <v>2</v>
      </c>
      <c r="G62" s="3" t="s">
        <v>2</v>
      </c>
      <c r="H62" s="11" t="s">
        <v>3</v>
      </c>
      <c r="I62" s="11" t="s">
        <v>3</v>
      </c>
      <c r="J62" s="11" t="s">
        <v>3</v>
      </c>
      <c r="K62" s="12" t="s">
        <v>4</v>
      </c>
      <c r="L62" s="12" t="s">
        <v>4</v>
      </c>
      <c r="M62" s="12" t="s">
        <v>4</v>
      </c>
      <c r="N62" s="13" t="s">
        <v>5</v>
      </c>
      <c r="O62" s="13" t="s">
        <v>5</v>
      </c>
      <c r="P62" s="13"/>
      <c r="Q62" s="13" t="s">
        <v>5</v>
      </c>
      <c r="R62" s="22"/>
    </row>
    <row r="63" spans="3:18">
      <c r="C63" s="34"/>
      <c r="D63" s="1" t="s">
        <v>6</v>
      </c>
      <c r="E63" s="4">
        <v>75.711799999999997</v>
      </c>
      <c r="F63" s="4">
        <v>79.045500000000004</v>
      </c>
      <c r="G63" s="4">
        <v>76.9191</v>
      </c>
      <c r="H63" s="8">
        <v>71.817999999999998</v>
      </c>
      <c r="I63" s="8">
        <v>79.004400000000004</v>
      </c>
      <c r="J63" s="8">
        <v>73.102900000000005</v>
      </c>
      <c r="K63" s="7">
        <v>79.120699999999999</v>
      </c>
      <c r="L63" s="7">
        <v>81.111900000000006</v>
      </c>
      <c r="M63" s="7">
        <v>77.263400000000004</v>
      </c>
      <c r="N63" s="14">
        <v>73.810900000000004</v>
      </c>
      <c r="O63" s="14">
        <v>80.930700000000002</v>
      </c>
      <c r="P63" s="14"/>
      <c r="Q63" s="14">
        <v>78.985100000000003</v>
      </c>
      <c r="R63" s="23"/>
    </row>
    <row r="64" spans="3:18">
      <c r="C64" s="34"/>
      <c r="D64" s="1" t="s">
        <v>10</v>
      </c>
      <c r="E64" s="4">
        <v>20.0335</v>
      </c>
      <c r="F64" s="4">
        <v>20.019500000000001</v>
      </c>
      <c r="G64" s="4">
        <v>20.027999999999999</v>
      </c>
      <c r="H64" s="8">
        <v>20.040500000000002</v>
      </c>
      <c r="I64" s="8">
        <v>20.016999999999999</v>
      </c>
      <c r="J64" s="8">
        <v>20.043500000000002</v>
      </c>
      <c r="K64" s="7">
        <v>20.007100000000001</v>
      </c>
      <c r="L64" s="7">
        <v>20.070799999999998</v>
      </c>
      <c r="M64" s="7">
        <v>20.013400000000001</v>
      </c>
      <c r="N64" s="14">
        <v>20.0273</v>
      </c>
      <c r="O64" s="14">
        <v>20.015999999999998</v>
      </c>
      <c r="P64" s="14"/>
      <c r="Q64" s="14">
        <v>20.071100000000001</v>
      </c>
      <c r="R64" s="23"/>
    </row>
    <row r="65" spans="3:21">
      <c r="C65" s="34"/>
      <c r="D65" s="1" t="s">
        <v>11</v>
      </c>
      <c r="E65" s="4">
        <v>76.265199999999993</v>
      </c>
      <c r="F65" s="4">
        <v>79.634799999999998</v>
      </c>
      <c r="G65" s="4">
        <v>77.480400000000003</v>
      </c>
      <c r="H65" s="8">
        <v>72.453299999999999</v>
      </c>
      <c r="I65" s="8">
        <v>79.6053</v>
      </c>
      <c r="J65" s="8">
        <v>73.731899999999996</v>
      </c>
      <c r="K65" s="7">
        <v>79.73</v>
      </c>
      <c r="L65" s="7">
        <v>81.724999999999994</v>
      </c>
      <c r="M65" s="7">
        <v>77.889799999999994</v>
      </c>
      <c r="N65" s="14">
        <v>73.798900000000003</v>
      </c>
      <c r="O65" s="14">
        <v>80.916200000000003</v>
      </c>
      <c r="P65" s="14"/>
      <c r="Q65" s="14">
        <v>78.969300000000004</v>
      </c>
      <c r="R65" s="23"/>
    </row>
    <row r="66" spans="3:21">
      <c r="C66" s="34"/>
      <c r="D66" s="1" t="s">
        <v>12</v>
      </c>
      <c r="E66" s="5">
        <f t="shared" ref="E66:O66" si="12">(E65-E63)/(E63)*100</f>
        <v>0.73092965693590217</v>
      </c>
      <c r="F66" s="5">
        <f t="shared" si="12"/>
        <v>0.7455199853249006</v>
      </c>
      <c r="G66" s="5">
        <f t="shared" si="12"/>
        <v>0.72972772692348553</v>
      </c>
      <c r="H66" s="9">
        <f t="shared" si="12"/>
        <v>0.88459717619538392</v>
      </c>
      <c r="I66" s="9">
        <f t="shared" si="12"/>
        <v>0.76059054938711734</v>
      </c>
      <c r="J66" s="9">
        <f t="shared" si="12"/>
        <v>0.86043098153423558</v>
      </c>
      <c r="K66" s="10">
        <f t="shared" si="12"/>
        <v>0.77008924339648743</v>
      </c>
      <c r="L66" s="10">
        <f t="shared" si="12"/>
        <v>0.75586936072264188</v>
      </c>
      <c r="M66" s="10">
        <f t="shared" si="12"/>
        <v>0.81073315437838556</v>
      </c>
      <c r="N66" s="15">
        <f t="shared" si="12"/>
        <v>-1.6257761387546359E-2</v>
      </c>
      <c r="O66" s="15">
        <f t="shared" si="12"/>
        <v>-1.7916563183066721E-2</v>
      </c>
      <c r="P66" s="15"/>
      <c r="Q66" s="15">
        <f>(Q65-Q63)/(Q63)*100</f>
        <v>-2.0003772863487802E-2</v>
      </c>
      <c r="R66" s="24"/>
    </row>
    <row r="67" spans="3:21">
      <c r="C67" s="34" t="s">
        <v>25</v>
      </c>
      <c r="D67" s="1" t="s">
        <v>1</v>
      </c>
      <c r="E67" s="3" t="s">
        <v>2</v>
      </c>
      <c r="F67" s="3" t="s">
        <v>2</v>
      </c>
      <c r="G67" s="3" t="s">
        <v>2</v>
      </c>
      <c r="H67" s="11" t="s">
        <v>3</v>
      </c>
      <c r="I67" s="11" t="s">
        <v>3</v>
      </c>
      <c r="J67" s="11" t="s">
        <v>3</v>
      </c>
      <c r="K67" s="12" t="s">
        <v>4</v>
      </c>
      <c r="L67" s="12" t="s">
        <v>4</v>
      </c>
      <c r="M67" s="12" t="s">
        <v>4</v>
      </c>
      <c r="N67" s="13" t="s">
        <v>5</v>
      </c>
      <c r="O67" s="13" t="s">
        <v>5</v>
      </c>
      <c r="P67" s="13"/>
      <c r="Q67" s="13" t="s">
        <v>5</v>
      </c>
      <c r="R67" s="22"/>
    </row>
    <row r="68" spans="3:21">
      <c r="C68" s="34"/>
      <c r="D68" s="1" t="s">
        <v>6</v>
      </c>
      <c r="E68" s="4">
        <v>75.711799999999997</v>
      </c>
      <c r="F68" s="4">
        <v>79.045500000000004</v>
      </c>
      <c r="G68" s="4">
        <v>76.9191</v>
      </c>
      <c r="H68" s="8">
        <v>71.817999999999998</v>
      </c>
      <c r="I68" s="8">
        <v>79.004400000000004</v>
      </c>
      <c r="J68" s="8">
        <v>73.102900000000005</v>
      </c>
      <c r="K68" s="7">
        <v>79.120699999999999</v>
      </c>
      <c r="L68" s="7">
        <v>81.111900000000006</v>
      </c>
      <c r="M68" s="7">
        <v>77.263400000000004</v>
      </c>
      <c r="N68" s="14">
        <v>73.810900000000004</v>
      </c>
      <c r="O68" s="14">
        <v>80.930700000000002</v>
      </c>
      <c r="P68" s="14"/>
      <c r="Q68" s="14">
        <v>78.985100000000003</v>
      </c>
      <c r="R68" s="23"/>
    </row>
    <row r="69" spans="3:21">
      <c r="C69" s="34"/>
      <c r="D69" s="1" t="s">
        <v>10</v>
      </c>
      <c r="E69" s="4">
        <v>20.0335</v>
      </c>
      <c r="F69" s="4">
        <v>20.019500000000001</v>
      </c>
      <c r="G69" s="4">
        <v>20.027999999999999</v>
      </c>
      <c r="H69" s="8">
        <v>20.040500000000002</v>
      </c>
      <c r="I69" s="8">
        <v>20.016999999999999</v>
      </c>
      <c r="J69" s="8">
        <v>20.043500000000002</v>
      </c>
      <c r="K69" s="7">
        <v>20.007100000000001</v>
      </c>
      <c r="L69" s="7">
        <v>20.070799999999998</v>
      </c>
      <c r="M69" s="7">
        <v>20.013400000000001</v>
      </c>
      <c r="N69" s="14">
        <v>20.0273</v>
      </c>
      <c r="O69" s="14">
        <v>20.015999999999998</v>
      </c>
      <c r="P69" s="14"/>
      <c r="Q69" s="14">
        <v>20.071100000000001</v>
      </c>
      <c r="R69" s="23"/>
    </row>
    <row r="70" spans="3:21">
      <c r="C70" s="34"/>
      <c r="D70" s="1" t="s">
        <v>11</v>
      </c>
      <c r="E70" s="4">
        <v>76.271100000000004</v>
      </c>
      <c r="F70" s="4">
        <v>79.639300000000006</v>
      </c>
      <c r="G70" s="4">
        <v>77.488399999999999</v>
      </c>
      <c r="H70" s="8">
        <v>72.457300000000004</v>
      </c>
      <c r="I70" s="8">
        <v>79.610900000000001</v>
      </c>
      <c r="J70" s="8">
        <v>73.737099999999998</v>
      </c>
      <c r="K70" s="7">
        <v>79.734999999999999</v>
      </c>
      <c r="L70" s="7">
        <v>81.727400000000003</v>
      </c>
      <c r="M70" s="7">
        <v>77.895300000000006</v>
      </c>
      <c r="N70" s="14">
        <v>73.800299999999993</v>
      </c>
      <c r="O70" s="14">
        <v>80.918199999999999</v>
      </c>
      <c r="P70" s="14"/>
      <c r="Q70" s="14">
        <v>78.971500000000006</v>
      </c>
      <c r="R70" s="23"/>
    </row>
    <row r="71" spans="3:21">
      <c r="C71" s="34"/>
      <c r="D71" s="1" t="s">
        <v>12</v>
      </c>
      <c r="E71" s="5">
        <f t="shared" ref="E71:O71" si="13">(E70-E68)/(E68)*100</f>
        <v>0.73872236560220139</v>
      </c>
      <c r="F71" s="5">
        <f t="shared" si="13"/>
        <v>0.75121290902075599</v>
      </c>
      <c r="G71" s="5">
        <f t="shared" si="13"/>
        <v>0.74012826463127923</v>
      </c>
      <c r="H71" s="9">
        <f t="shared" si="13"/>
        <v>0.89016681054889557</v>
      </c>
      <c r="I71" s="9">
        <f t="shared" si="13"/>
        <v>0.76767876219551945</v>
      </c>
      <c r="J71" s="9">
        <f t="shared" si="13"/>
        <v>0.86754424243086492</v>
      </c>
      <c r="K71" s="10">
        <f t="shared" si="13"/>
        <v>0.77640870214747859</v>
      </c>
      <c r="L71" s="10">
        <f t="shared" si="13"/>
        <v>0.75882823605413907</v>
      </c>
      <c r="M71" s="10">
        <f t="shared" si="13"/>
        <v>0.81785166068280934</v>
      </c>
      <c r="N71" s="15">
        <f t="shared" si="13"/>
        <v>-1.4361022559013403E-2</v>
      </c>
      <c r="O71" s="15">
        <f t="shared" si="13"/>
        <v>-1.5445313088856074E-2</v>
      </c>
      <c r="P71" s="15"/>
      <c r="Q71" s="15">
        <f>(Q70-Q68)/(Q68)*100</f>
        <v>-1.7218437401480439E-2</v>
      </c>
      <c r="R71" s="24"/>
    </row>
    <row r="72" spans="3:21">
      <c r="C72" s="34" t="s">
        <v>26</v>
      </c>
      <c r="D72" s="1" t="s">
        <v>1</v>
      </c>
      <c r="E72" s="3" t="s">
        <v>2</v>
      </c>
      <c r="F72" s="3" t="s">
        <v>2</v>
      </c>
      <c r="G72" s="3" t="s">
        <v>2</v>
      </c>
      <c r="H72" s="11" t="s">
        <v>3</v>
      </c>
      <c r="I72" s="11" t="s">
        <v>3</v>
      </c>
      <c r="J72" s="11" t="s">
        <v>3</v>
      </c>
      <c r="K72" s="12" t="s">
        <v>4</v>
      </c>
      <c r="L72" s="12" t="s">
        <v>4</v>
      </c>
      <c r="M72" s="12" t="s">
        <v>4</v>
      </c>
      <c r="N72" s="13" t="s">
        <v>5</v>
      </c>
      <c r="O72" s="13" t="s">
        <v>5</v>
      </c>
      <c r="P72" s="13"/>
      <c r="Q72" s="13" t="s">
        <v>5</v>
      </c>
      <c r="R72" s="22"/>
    </row>
    <row r="73" spans="3:21">
      <c r="C73" s="34"/>
      <c r="D73" s="1" t="s">
        <v>6</v>
      </c>
      <c r="E73" s="4">
        <v>75.711799999999997</v>
      </c>
      <c r="F73" s="4">
        <v>79.045500000000004</v>
      </c>
      <c r="G73" s="4">
        <v>76.9191</v>
      </c>
      <c r="H73" s="8">
        <v>71.817999999999998</v>
      </c>
      <c r="I73" s="8">
        <v>79.004400000000004</v>
      </c>
      <c r="J73" s="8">
        <v>73.102900000000005</v>
      </c>
      <c r="K73" s="7">
        <v>79.120699999999999</v>
      </c>
      <c r="L73" s="7">
        <v>81.111900000000006</v>
      </c>
      <c r="M73" s="7">
        <v>77.263400000000004</v>
      </c>
      <c r="N73" s="14">
        <v>73.810900000000004</v>
      </c>
      <c r="O73" s="14">
        <v>80.930700000000002</v>
      </c>
      <c r="P73" s="14"/>
      <c r="Q73" s="14">
        <v>78.985100000000003</v>
      </c>
      <c r="R73" s="23"/>
    </row>
    <row r="74" spans="3:21">
      <c r="C74" s="34"/>
      <c r="D74" s="1" t="s">
        <v>10</v>
      </c>
      <c r="E74" s="4">
        <v>20.0335</v>
      </c>
      <c r="F74" s="4">
        <v>20.019500000000001</v>
      </c>
      <c r="G74" s="4">
        <v>20.027999999999999</v>
      </c>
      <c r="H74" s="8">
        <v>20.040500000000002</v>
      </c>
      <c r="I74" s="8">
        <v>20.016999999999999</v>
      </c>
      <c r="J74" s="8">
        <v>20.043500000000002</v>
      </c>
      <c r="K74" s="7">
        <v>20.007100000000001</v>
      </c>
      <c r="L74" s="7">
        <v>20.070799999999998</v>
      </c>
      <c r="M74" s="7">
        <v>20.013400000000001</v>
      </c>
      <c r="N74" s="14">
        <v>20.0273</v>
      </c>
      <c r="O74" s="14">
        <v>20.015999999999998</v>
      </c>
      <c r="P74" s="14"/>
      <c r="Q74" s="14">
        <v>20.071100000000001</v>
      </c>
      <c r="R74" s="23"/>
    </row>
    <row r="75" spans="3:21">
      <c r="C75" s="34"/>
      <c r="D75" s="1" t="s">
        <v>11</v>
      </c>
      <c r="E75" s="4">
        <v>76.268600000000006</v>
      </c>
      <c r="F75" s="4">
        <v>79.6374</v>
      </c>
      <c r="G75" s="4">
        <v>77.4923</v>
      </c>
      <c r="H75" s="8">
        <v>72.461299999999994</v>
      </c>
      <c r="I75" s="8">
        <v>79.613900000000001</v>
      </c>
      <c r="J75" s="8">
        <v>73.741799999999998</v>
      </c>
      <c r="K75" s="7">
        <v>79.777600000000007</v>
      </c>
      <c r="L75" s="7">
        <v>81.730199999999996</v>
      </c>
      <c r="M75" s="7">
        <v>77.899199999999993</v>
      </c>
      <c r="N75" s="14">
        <v>73.799400000000006</v>
      </c>
      <c r="O75" s="14">
        <v>80.919200000000004</v>
      </c>
      <c r="P75" s="14"/>
      <c r="Q75" s="14">
        <v>78.971500000000006</v>
      </c>
      <c r="R75" s="23"/>
    </row>
    <row r="76" spans="3:21">
      <c r="C76" s="34"/>
      <c r="D76" s="1" t="s">
        <v>12</v>
      </c>
      <c r="E76" s="5">
        <f t="shared" ref="E76:O76" si="14">(E75-E73)/(E73)*100</f>
        <v>0.73542037040462616</v>
      </c>
      <c r="F76" s="5">
        <f t="shared" si="14"/>
        <v>0.74880923012694633</v>
      </c>
      <c r="G76" s="5">
        <f t="shared" si="14"/>
        <v>0.74519852676383369</v>
      </c>
      <c r="H76" s="9">
        <f t="shared" si="14"/>
        <v>0.89573644490238724</v>
      </c>
      <c r="I76" s="9">
        <f t="shared" si="14"/>
        <v>0.77147601905716268</v>
      </c>
      <c r="J76" s="9">
        <f t="shared" si="14"/>
        <v>0.87397353593358462</v>
      </c>
      <c r="K76" s="10">
        <f t="shared" si="14"/>
        <v>0.83025049070598134</v>
      </c>
      <c r="L76" s="10">
        <f t="shared" si="14"/>
        <v>0.76228025727419868</v>
      </c>
      <c r="M76" s="10">
        <f t="shared" si="14"/>
        <v>0.82289932878955496</v>
      </c>
      <c r="N76" s="15">
        <f t="shared" si="14"/>
        <v>-1.5580354663062051E-2</v>
      </c>
      <c r="O76" s="15">
        <f t="shared" si="14"/>
        <v>-1.4209688041741969E-2</v>
      </c>
      <c r="P76" s="15"/>
      <c r="Q76" s="15">
        <f>(Q75-Q73)/(Q73)*100</f>
        <v>-1.7218437401480439E-2</v>
      </c>
      <c r="R76" s="24"/>
    </row>
    <row r="80" spans="3:21">
      <c r="C80" s="19" t="s">
        <v>7</v>
      </c>
      <c r="D80" s="35" t="s">
        <v>2</v>
      </c>
      <c r="E80" s="35"/>
      <c r="F80" s="35"/>
      <c r="G80" s="35" t="s">
        <v>27</v>
      </c>
      <c r="H80" s="35"/>
      <c r="I80" s="35"/>
      <c r="J80" s="35" t="s">
        <v>28</v>
      </c>
      <c r="K80" s="35"/>
      <c r="L80" s="35"/>
      <c r="N80" s="19" t="s">
        <v>29</v>
      </c>
      <c r="O80" s="19" t="s">
        <v>2</v>
      </c>
      <c r="P80" s="19" t="s">
        <v>30</v>
      </c>
      <c r="Q80" s="19" t="s">
        <v>27</v>
      </c>
      <c r="R80" s="19" t="s">
        <v>30</v>
      </c>
      <c r="S80" s="19" t="s">
        <v>28</v>
      </c>
      <c r="T80" s="19" t="s">
        <v>30</v>
      </c>
      <c r="U80" s="2" t="s">
        <v>31</v>
      </c>
    </row>
    <row r="81" spans="3:20">
      <c r="C81" s="20">
        <v>8.3000000000000004E-2</v>
      </c>
      <c r="D81" s="20">
        <v>5.8599999999999999E-2</v>
      </c>
      <c r="E81" s="20">
        <v>4.02E-2</v>
      </c>
      <c r="F81" s="20">
        <v>2.9899999999999999E-2</v>
      </c>
      <c r="G81" s="20">
        <v>6.2700000000000006E-2</v>
      </c>
      <c r="H81" s="20">
        <v>4.3200000000000002E-2</v>
      </c>
      <c r="I81" s="20">
        <v>4.4200000000000003E-2</v>
      </c>
      <c r="J81" s="20">
        <v>8.0500000000000002E-2</v>
      </c>
      <c r="K81" s="20">
        <v>5.6599999999999998E-2</v>
      </c>
      <c r="L81" s="20">
        <v>5.7500000000000002E-2</v>
      </c>
      <c r="N81" s="20">
        <v>8.3000000000000004E-2</v>
      </c>
      <c r="O81" s="21">
        <f>AVERAGE(C81:L81)</f>
        <v>5.5640000000000009E-2</v>
      </c>
      <c r="P81" s="21">
        <f>_xlfn.STDEV.S(D81:F81)</f>
        <v>1.4539257202484562E-2</v>
      </c>
      <c r="Q81" s="21">
        <f>AVERAGE(G81:I81)</f>
        <v>5.0033333333333339E-2</v>
      </c>
      <c r="R81" s="33">
        <f>_xlfn.STDEV.S(G81:I81)</f>
        <v>1.0981044273352749E-2</v>
      </c>
      <c r="S81" s="21">
        <f>AVERAGE(J81:L81)</f>
        <v>6.486666666666667E-2</v>
      </c>
      <c r="T81" s="32">
        <f>_xlfn.STDEV.S(J81:L81)</f>
        <v>1.3546340219163766E-2</v>
      </c>
    </row>
    <row r="82" spans="3:20">
      <c r="C82" s="20">
        <v>0.16700000000000001</v>
      </c>
      <c r="D82" s="20">
        <v>9.6000000000000002E-2</v>
      </c>
      <c r="E82" s="20">
        <v>7.2499999999999995E-2</v>
      </c>
      <c r="F82" s="20">
        <v>5.4899999999999997E-2</v>
      </c>
      <c r="G82" s="20">
        <v>9.5799999999999996E-2</v>
      </c>
      <c r="H82" s="20">
        <v>6.2799999999999995E-2</v>
      </c>
      <c r="I82" s="20">
        <v>6.8699999999999997E-2</v>
      </c>
      <c r="J82" s="20">
        <v>0.111</v>
      </c>
      <c r="K82" s="20">
        <v>7.6700000000000004E-2</v>
      </c>
      <c r="L82" s="20">
        <v>7.8299999999999995E-2</v>
      </c>
      <c r="N82" s="20">
        <v>0.16700000000000001</v>
      </c>
      <c r="O82" s="21">
        <f>AVERAGE(D82:F82)</f>
        <v>7.4466666666666667E-2</v>
      </c>
      <c r="P82" s="21">
        <f t="shared" ref="P82:P94" si="15">_xlfn.STDEV.S(D82:F82)</f>
        <v>2.0620459096085467E-2</v>
      </c>
      <c r="Q82" s="21">
        <f t="shared" ref="Q82:Q95" si="16">AVERAGE(G82:I82)</f>
        <v>7.5766666666666663E-2</v>
      </c>
      <c r="R82" s="33">
        <f>_xlfn.STDEV.S(G82:I82)</f>
        <v>1.7598390077883008E-2</v>
      </c>
      <c r="S82" s="21">
        <f t="shared" ref="S82:S95" si="17">AVERAGE(J82:L82)</f>
        <v>8.8666666666666671E-2</v>
      </c>
      <c r="T82" s="32">
        <f t="shared" ref="T82:T95" si="18">_xlfn.STDEV.S(J82:L82)</f>
        <v>1.9357771910355072E-2</v>
      </c>
    </row>
    <row r="83" spans="3:20">
      <c r="C83" s="20">
        <v>0.25</v>
      </c>
      <c r="D83" s="20">
        <v>0.12920000000000001</v>
      </c>
      <c r="E83" s="20">
        <v>9.9900000000000003E-2</v>
      </c>
      <c r="F83" s="20">
        <v>8.1299999999999997E-2</v>
      </c>
      <c r="G83" s="20">
        <v>0.1424</v>
      </c>
      <c r="H83" s="20">
        <v>0.108</v>
      </c>
      <c r="I83" s="20">
        <v>0.10680000000000001</v>
      </c>
      <c r="J83" s="20">
        <v>0.14449999999999999</v>
      </c>
      <c r="K83" s="20">
        <v>0.1132</v>
      </c>
      <c r="L83" s="20">
        <v>0.11609999999999999</v>
      </c>
      <c r="N83" s="20">
        <v>0.25</v>
      </c>
      <c r="O83" s="21">
        <f t="shared" ref="O83:O95" si="19">AVERAGE(D83:F83)</f>
        <v>0.10346666666666667</v>
      </c>
      <c r="P83" s="21">
        <f>_xlfn.STDEV.S(D83:F83)</f>
        <v>2.4148360882952996E-2</v>
      </c>
      <c r="Q83" s="21">
        <f t="shared" si="16"/>
        <v>0.11906666666666667</v>
      </c>
      <c r="R83" s="33">
        <f t="shared" ref="R83:R95" si="20">_xlfn.STDEV.S(G83:I83)</f>
        <v>2.0216165149041777E-2</v>
      </c>
      <c r="S83" s="21">
        <f t="shared" si="17"/>
        <v>0.12459999999999999</v>
      </c>
      <c r="T83" s="32">
        <f t="shared" si="18"/>
        <v>1.7294796905427894E-2</v>
      </c>
    </row>
    <row r="84" spans="3:20">
      <c r="C84" s="20">
        <v>1</v>
      </c>
      <c r="D84" s="20">
        <v>0.31509999999999999</v>
      </c>
      <c r="E84" s="20">
        <v>0.25900000000000001</v>
      </c>
      <c r="F84" s="20">
        <v>0.2712</v>
      </c>
      <c r="G84" s="20">
        <v>0.40310000000000001</v>
      </c>
      <c r="H84" s="20">
        <v>0.31619999999999998</v>
      </c>
      <c r="I84" s="20">
        <v>0.3795</v>
      </c>
      <c r="J84" s="20">
        <v>0.41370000000000001</v>
      </c>
      <c r="K84" s="20">
        <v>0.38850000000000001</v>
      </c>
      <c r="L84" s="20">
        <v>0.43880000000000002</v>
      </c>
      <c r="N84" s="20">
        <v>1</v>
      </c>
      <c r="O84" s="21">
        <f t="shared" si="19"/>
        <v>0.28176666666666667</v>
      </c>
      <c r="P84" s="21">
        <f>_xlfn.STDEV.S(D84:F84)</f>
        <v>2.9504971332528572E-2</v>
      </c>
      <c r="Q84" s="21">
        <f t="shared" si="16"/>
        <v>0.36626666666666668</v>
      </c>
      <c r="R84" s="33">
        <f t="shared" si="20"/>
        <v>4.4935991513855959E-2</v>
      </c>
      <c r="S84" s="21">
        <f t="shared" si="17"/>
        <v>0.41366666666666668</v>
      </c>
      <c r="T84" s="32">
        <f>_xlfn.STDEV.S(J84:L84)</f>
        <v>2.5150016567257637E-2</v>
      </c>
    </row>
    <row r="85" spans="3:20">
      <c r="C85" s="20">
        <v>1.25</v>
      </c>
      <c r="D85" s="20">
        <v>0.36609999999999998</v>
      </c>
      <c r="E85" s="20">
        <v>0.30009999999999998</v>
      </c>
      <c r="F85" s="20">
        <v>0.3054</v>
      </c>
      <c r="G85" s="20">
        <v>0.46479999999999999</v>
      </c>
      <c r="H85" s="20">
        <v>0.3639</v>
      </c>
      <c r="I85" s="20">
        <v>0.42520000000000002</v>
      </c>
      <c r="J85" s="20">
        <v>0.4652</v>
      </c>
      <c r="K85" s="20">
        <v>0.45379999999999998</v>
      </c>
      <c r="L85" s="20">
        <v>0.4909</v>
      </c>
      <c r="N85" s="20">
        <v>1.25</v>
      </c>
      <c r="O85" s="21">
        <f t="shared" si="19"/>
        <v>0.32386666666666664</v>
      </c>
      <c r="P85" s="21">
        <f t="shared" si="15"/>
        <v>3.6671014893691352E-2</v>
      </c>
      <c r="Q85" s="21">
        <f t="shared" si="16"/>
        <v>0.41796666666666665</v>
      </c>
      <c r="R85" s="33">
        <f t="shared" si="20"/>
        <v>5.0837420600708422E-2</v>
      </c>
      <c r="S85" s="21">
        <f t="shared" si="17"/>
        <v>0.46996666666666664</v>
      </c>
      <c r="T85" s="32">
        <f t="shared" si="18"/>
        <v>1.9003771555492179E-2</v>
      </c>
    </row>
    <row r="86" spans="3:20">
      <c r="C86" s="20">
        <v>4</v>
      </c>
      <c r="D86" s="20">
        <v>0.63200000000000001</v>
      </c>
      <c r="E86" s="20">
        <v>0.61370000000000002</v>
      </c>
      <c r="F86" s="20">
        <v>0.56100000000000005</v>
      </c>
      <c r="G86" s="20">
        <v>0.80659999999999998</v>
      </c>
      <c r="H86" s="20">
        <v>0.68969999999999998</v>
      </c>
      <c r="I86" s="20">
        <v>0.76259999999999994</v>
      </c>
      <c r="J86" s="20">
        <v>0.70740000000000003</v>
      </c>
      <c r="K86" s="20">
        <v>0.68820000000000003</v>
      </c>
      <c r="L86" s="20">
        <v>0.73019999999999996</v>
      </c>
      <c r="N86" s="20">
        <v>4</v>
      </c>
      <c r="O86" s="21">
        <f t="shared" si="19"/>
        <v>0.6022333333333334</v>
      </c>
      <c r="P86" s="21">
        <f t="shared" si="15"/>
        <v>3.6862763506461796E-2</v>
      </c>
      <c r="Q86" s="21">
        <f t="shared" si="16"/>
        <v>0.75296666666666656</v>
      </c>
      <c r="R86" s="33">
        <f t="shared" si="20"/>
        <v>5.9042385904816995E-2</v>
      </c>
      <c r="S86" s="21">
        <f t="shared" si="17"/>
        <v>0.70860000000000001</v>
      </c>
      <c r="T86" s="32">
        <f t="shared" si="18"/>
        <v>2.1025698561522241E-2</v>
      </c>
    </row>
    <row r="87" spans="3:20">
      <c r="C87" s="20">
        <v>5</v>
      </c>
      <c r="D87" s="20">
        <v>0.66439999999999999</v>
      </c>
      <c r="E87" s="20">
        <v>0.65610000000000002</v>
      </c>
      <c r="F87" s="20">
        <v>0.61619999999999997</v>
      </c>
      <c r="G87" s="20">
        <v>0.82499999999999996</v>
      </c>
      <c r="H87" s="20">
        <v>0.70740000000000003</v>
      </c>
      <c r="I87" s="20">
        <v>0.77990000000000004</v>
      </c>
      <c r="J87" s="20">
        <v>0.71740000000000004</v>
      </c>
      <c r="K87" s="20">
        <v>0.69899999999999995</v>
      </c>
      <c r="L87" s="20">
        <v>0.75019999999999998</v>
      </c>
      <c r="N87" s="20">
        <v>5</v>
      </c>
      <c r="O87" s="21">
        <f t="shared" si="19"/>
        <v>0.64556666666666673</v>
      </c>
      <c r="P87" s="21">
        <f t="shared" si="15"/>
        <v>2.5768650203946152E-2</v>
      </c>
      <c r="Q87" s="21">
        <f t="shared" si="16"/>
        <v>0.77076666666666671</v>
      </c>
      <c r="R87" s="33">
        <f t="shared" si="20"/>
        <v>5.9329615988419557E-2</v>
      </c>
      <c r="S87" s="21">
        <f t="shared" si="17"/>
        <v>0.72219999999999995</v>
      </c>
      <c r="T87" s="32">
        <f t="shared" si="18"/>
        <v>2.5935304123915731E-2</v>
      </c>
    </row>
    <row r="88" spans="3:20">
      <c r="C88" s="20">
        <v>6</v>
      </c>
      <c r="D88" s="20">
        <v>0.67859999999999998</v>
      </c>
      <c r="E88" s="20">
        <v>0.68179999999999996</v>
      </c>
      <c r="F88" s="20">
        <v>0.63390000000000002</v>
      </c>
      <c r="G88" s="20">
        <v>0.83860000000000001</v>
      </c>
      <c r="H88" s="20">
        <v>0.71719999999999995</v>
      </c>
      <c r="I88" s="20">
        <v>0.79530000000000001</v>
      </c>
      <c r="J88" s="20">
        <v>0.72419999999999995</v>
      </c>
      <c r="K88" s="20">
        <v>0.70850000000000002</v>
      </c>
      <c r="L88" s="20">
        <v>0.76080000000000003</v>
      </c>
      <c r="N88" s="20">
        <v>6</v>
      </c>
      <c r="O88" s="21">
        <f t="shared" si="19"/>
        <v>0.66476666666666662</v>
      </c>
      <c r="P88" s="21">
        <f t="shared" si="15"/>
        <v>2.6779158562832625E-2</v>
      </c>
      <c r="Q88" s="21">
        <f t="shared" si="16"/>
        <v>0.78370000000000006</v>
      </c>
      <c r="R88" s="33">
        <f t="shared" si="20"/>
        <v>6.1525685693050218E-2</v>
      </c>
      <c r="S88" s="21">
        <f t="shared" si="17"/>
        <v>0.73116666666666674</v>
      </c>
      <c r="T88" s="32">
        <f t="shared" si="18"/>
        <v>2.6836976978291242E-2</v>
      </c>
    </row>
    <row r="89" spans="3:20">
      <c r="C89" s="20">
        <v>7</v>
      </c>
      <c r="D89" s="20">
        <v>0.68840000000000001</v>
      </c>
      <c r="E89" s="20">
        <v>0.69810000000000005</v>
      </c>
      <c r="F89" s="20">
        <v>0.6512</v>
      </c>
      <c r="G89" s="20">
        <v>0.84660000000000002</v>
      </c>
      <c r="H89" s="20">
        <v>0.72670000000000001</v>
      </c>
      <c r="I89" s="20">
        <v>0.80559999999999998</v>
      </c>
      <c r="J89" s="20">
        <v>0.73140000000000005</v>
      </c>
      <c r="K89" s="20">
        <v>0.71850000000000003</v>
      </c>
      <c r="L89" s="20">
        <v>0.77010000000000001</v>
      </c>
      <c r="N89" s="20">
        <v>7</v>
      </c>
      <c r="O89" s="21">
        <f t="shared" si="19"/>
        <v>0.67923333333333336</v>
      </c>
      <c r="P89" s="21">
        <f t="shared" si="15"/>
        <v>2.4757288489116382E-2</v>
      </c>
      <c r="Q89" s="21">
        <f t="shared" si="16"/>
        <v>0.79296666666666671</v>
      </c>
      <c r="R89" s="33">
        <f t="shared" si="20"/>
        <v>6.0940161907672458E-2</v>
      </c>
      <c r="S89" s="21">
        <f t="shared" si="17"/>
        <v>0.73999999999999988</v>
      </c>
      <c r="T89" s="32">
        <f t="shared" si="18"/>
        <v>2.6853491393113098E-2</v>
      </c>
    </row>
    <row r="90" spans="3:20">
      <c r="C90" s="20">
        <v>9</v>
      </c>
      <c r="D90" s="20">
        <v>0.70579999999999998</v>
      </c>
      <c r="E90" s="20">
        <v>0.71919999999999995</v>
      </c>
      <c r="F90" s="20">
        <v>0.68179999999999996</v>
      </c>
      <c r="G90" s="20">
        <v>0.85489999999999999</v>
      </c>
      <c r="H90" s="20">
        <v>0.73780000000000001</v>
      </c>
      <c r="I90" s="20">
        <v>0.8236</v>
      </c>
      <c r="J90" s="20">
        <v>0.74529999999999996</v>
      </c>
      <c r="K90" s="20">
        <v>0.73109999999999997</v>
      </c>
      <c r="L90" s="20">
        <v>0.78239999999999998</v>
      </c>
      <c r="N90" s="20">
        <v>9</v>
      </c>
      <c r="O90" s="21">
        <f t="shared" si="19"/>
        <v>0.70226666666666659</v>
      </c>
      <c r="P90" s="21">
        <f t="shared" si="15"/>
        <v>1.8948702682065947E-2</v>
      </c>
      <c r="Q90" s="21">
        <f t="shared" si="16"/>
        <v>0.80543333333333333</v>
      </c>
      <c r="R90" s="33">
        <f t="shared" si="20"/>
        <v>6.0626919213607848E-2</v>
      </c>
      <c r="S90" s="21">
        <f t="shared" si="17"/>
        <v>0.75293333333333334</v>
      </c>
      <c r="T90" s="32">
        <f t="shared" si="18"/>
        <v>2.6488173461628753E-2</v>
      </c>
    </row>
    <row r="91" spans="3:20">
      <c r="C91" s="20">
        <v>16</v>
      </c>
      <c r="D91" s="20">
        <v>0.70930000000000004</v>
      </c>
      <c r="E91" s="20">
        <v>0.7268</v>
      </c>
      <c r="F91" s="20">
        <v>0.7</v>
      </c>
      <c r="G91" s="20">
        <v>0.85980000000000001</v>
      </c>
      <c r="H91" s="20">
        <v>0.74309999999999998</v>
      </c>
      <c r="I91" s="20">
        <v>0.83420000000000005</v>
      </c>
      <c r="J91" s="20">
        <v>0.75060000000000004</v>
      </c>
      <c r="K91" s="20">
        <v>0.73699999999999999</v>
      </c>
      <c r="L91" s="20">
        <v>0.78920000000000001</v>
      </c>
      <c r="N91" s="20">
        <v>16</v>
      </c>
      <c r="O91" s="21">
        <f t="shared" si="19"/>
        <v>0.7120333333333333</v>
      </c>
      <c r="P91" s="21">
        <f t="shared" si="15"/>
        <v>1.3607473436804268E-2</v>
      </c>
      <c r="Q91" s="21">
        <f t="shared" si="16"/>
        <v>0.81236666666666668</v>
      </c>
      <c r="R91" s="33">
        <f t="shared" si="20"/>
        <v>6.1337128505769944E-2</v>
      </c>
      <c r="S91" s="21">
        <f t="shared" si="17"/>
        <v>0.75893333333333335</v>
      </c>
      <c r="T91" s="32">
        <f t="shared" si="18"/>
        <v>2.7079389456435933E-2</v>
      </c>
    </row>
    <row r="92" spans="3:20">
      <c r="C92" s="20">
        <v>23</v>
      </c>
      <c r="D92" s="20">
        <v>0.72760000000000002</v>
      </c>
      <c r="E92" s="20">
        <v>0.74199999999999999</v>
      </c>
      <c r="F92" s="20">
        <v>0.71779999999999999</v>
      </c>
      <c r="G92" s="20">
        <v>0.87939999999999996</v>
      </c>
      <c r="H92" s="20">
        <v>0.75680000000000003</v>
      </c>
      <c r="I92" s="20">
        <v>0.8498</v>
      </c>
      <c r="J92" s="20">
        <v>0.76170000000000004</v>
      </c>
      <c r="K92" s="20">
        <v>0.74490000000000001</v>
      </c>
      <c r="L92" s="20">
        <v>0.80610000000000004</v>
      </c>
      <c r="N92" s="20">
        <v>23</v>
      </c>
      <c r="O92" s="21">
        <f t="shared" si="19"/>
        <v>0.72913333333333341</v>
      </c>
      <c r="P92" s="21">
        <f t="shared" si="15"/>
        <v>1.2172646932090541E-2</v>
      </c>
      <c r="Q92" s="21">
        <f t="shared" si="16"/>
        <v>0.82866666666666677</v>
      </c>
      <c r="R92" s="33">
        <f t="shared" si="20"/>
        <v>6.397384882382276E-2</v>
      </c>
      <c r="S92" s="21">
        <f t="shared" si="17"/>
        <v>0.77090000000000014</v>
      </c>
      <c r="T92" s="32">
        <f t="shared" si="18"/>
        <v>3.162024667835469E-2</v>
      </c>
    </row>
    <row r="93" spans="3:20">
      <c r="C93" s="20">
        <v>38</v>
      </c>
      <c r="D93" s="20">
        <v>0.73089999999999999</v>
      </c>
      <c r="E93" s="20">
        <v>0.74550000000000005</v>
      </c>
      <c r="F93" s="20">
        <v>0.72970000000000002</v>
      </c>
      <c r="G93" s="20">
        <v>0.88460000000000005</v>
      </c>
      <c r="H93" s="20">
        <v>0.76060000000000005</v>
      </c>
      <c r="I93" s="20">
        <v>0.86040000000000005</v>
      </c>
      <c r="J93" s="20">
        <v>0.77010000000000001</v>
      </c>
      <c r="K93" s="20">
        <v>0.75590000000000002</v>
      </c>
      <c r="L93" s="20">
        <v>0.81069999999999998</v>
      </c>
      <c r="N93" s="20">
        <v>38</v>
      </c>
      <c r="O93" s="21">
        <f t="shared" si="19"/>
        <v>0.73536666666666672</v>
      </c>
      <c r="P93" s="21">
        <f t="shared" si="15"/>
        <v>8.7962113056323163E-3</v>
      </c>
      <c r="Q93" s="21">
        <f t="shared" si="16"/>
        <v>0.83520000000000005</v>
      </c>
      <c r="R93" s="33">
        <f t="shared" si="20"/>
        <v>6.5728836898274717E-2</v>
      </c>
      <c r="S93" s="21">
        <f t="shared" si="17"/>
        <v>0.77890000000000004</v>
      </c>
      <c r="T93" s="32">
        <f t="shared" si="18"/>
        <v>2.8440112517358274E-2</v>
      </c>
    </row>
    <row r="94" spans="3:20">
      <c r="C94" s="20">
        <v>60</v>
      </c>
      <c r="D94" s="20">
        <v>0.73870000000000002</v>
      </c>
      <c r="E94" s="20">
        <v>0.75119999999999998</v>
      </c>
      <c r="F94" s="20">
        <v>0.74009999999999998</v>
      </c>
      <c r="G94" s="20">
        <v>0.89019999999999999</v>
      </c>
      <c r="H94" s="20">
        <v>0.76770000000000005</v>
      </c>
      <c r="I94" s="20">
        <v>0.86750000000000005</v>
      </c>
      <c r="J94" s="20">
        <v>0.77639999999999998</v>
      </c>
      <c r="K94" s="20">
        <v>0.75880000000000003</v>
      </c>
      <c r="L94" s="20">
        <v>0.81789999999999996</v>
      </c>
      <c r="N94" s="20">
        <v>60</v>
      </c>
      <c r="O94" s="21">
        <f t="shared" si="19"/>
        <v>0.74333333333333329</v>
      </c>
      <c r="P94" s="21">
        <f t="shared" si="15"/>
        <v>6.8486008303399546E-3</v>
      </c>
      <c r="Q94" s="21">
        <f t="shared" si="16"/>
        <v>0.8418000000000001</v>
      </c>
      <c r="R94" s="33">
        <f t="shared" si="20"/>
        <v>6.5168473973233387E-2</v>
      </c>
      <c r="S94" s="21">
        <f t="shared" si="17"/>
        <v>0.78436666666666666</v>
      </c>
      <c r="T94" s="32">
        <f t="shared" si="18"/>
        <v>3.0344741444496299E-2</v>
      </c>
    </row>
    <row r="95" spans="3:20">
      <c r="C95" s="20">
        <v>90</v>
      </c>
      <c r="D95" s="20">
        <v>0.73540000000000005</v>
      </c>
      <c r="E95" s="20">
        <v>0.74880000000000002</v>
      </c>
      <c r="F95" s="20">
        <v>0.74519999999999997</v>
      </c>
      <c r="G95" s="20">
        <v>0.89570000000000005</v>
      </c>
      <c r="H95" s="20">
        <v>0.77149999999999996</v>
      </c>
      <c r="I95" s="20">
        <v>0.874</v>
      </c>
      <c r="J95" s="20">
        <v>0.83030000000000004</v>
      </c>
      <c r="K95" s="20">
        <v>0.76229999999999998</v>
      </c>
      <c r="L95" s="20">
        <v>0.82289999999999996</v>
      </c>
      <c r="N95" s="20">
        <v>90</v>
      </c>
      <c r="O95" s="21">
        <f t="shared" si="19"/>
        <v>0.74313333333333331</v>
      </c>
      <c r="P95" s="21">
        <f>_xlfn.STDEV.S(D95:F95)</f>
        <v>6.9349357122710942E-3</v>
      </c>
      <c r="Q95" s="21">
        <f t="shared" si="16"/>
        <v>0.84706666666666663</v>
      </c>
      <c r="R95" s="33">
        <f t="shared" si="20"/>
        <v>6.6335988221578032E-2</v>
      </c>
      <c r="S95" s="21">
        <f t="shared" si="17"/>
        <v>0.80516666666666659</v>
      </c>
      <c r="T95" s="32">
        <f t="shared" si="18"/>
        <v>3.7307550620931072E-2</v>
      </c>
    </row>
    <row r="98" spans="2:19">
      <c r="N98" s="19" t="s">
        <v>29</v>
      </c>
      <c r="O98" s="26" t="s">
        <v>2</v>
      </c>
      <c r="P98" s="26" t="s">
        <v>27</v>
      </c>
      <c r="Q98" s="26" t="s">
        <v>28</v>
      </c>
    </row>
    <row r="99" spans="2:19" ht="31.5">
      <c r="N99" s="19">
        <v>8.3000000000000004E-2</v>
      </c>
      <c r="O99" s="29" t="s">
        <v>32</v>
      </c>
      <c r="P99" s="29" t="s">
        <v>33</v>
      </c>
      <c r="Q99" s="29" t="s">
        <v>34</v>
      </c>
    </row>
    <row r="100" spans="2:19" ht="31.5">
      <c r="N100" s="19">
        <v>0.16700000000000001</v>
      </c>
      <c r="O100" s="30" t="s">
        <v>35</v>
      </c>
      <c r="P100" s="30" t="s">
        <v>36</v>
      </c>
      <c r="Q100" s="30" t="s">
        <v>37</v>
      </c>
    </row>
    <row r="101" spans="2:19" ht="31.5">
      <c r="N101" s="19">
        <v>0.25</v>
      </c>
      <c r="O101" s="31" t="s">
        <v>38</v>
      </c>
      <c r="P101" s="31" t="s">
        <v>39</v>
      </c>
      <c r="Q101" s="31" t="s">
        <v>40</v>
      </c>
    </row>
    <row r="102" spans="2:19" ht="31.5">
      <c r="N102" s="19">
        <v>1</v>
      </c>
      <c r="O102" s="31" t="s">
        <v>41</v>
      </c>
      <c r="P102" s="31" t="s">
        <v>42</v>
      </c>
      <c r="Q102" s="31" t="s">
        <v>43</v>
      </c>
    </row>
    <row r="103" spans="2:19" ht="31.5">
      <c r="N103" s="19">
        <v>1.25</v>
      </c>
      <c r="O103" s="31" t="s">
        <v>44</v>
      </c>
      <c r="P103" s="31" t="s">
        <v>45</v>
      </c>
      <c r="Q103" s="31" t="s">
        <v>46</v>
      </c>
      <c r="S103" s="25" t="s">
        <v>47</v>
      </c>
    </row>
    <row r="104" spans="2:19" ht="31.5">
      <c r="N104" s="19">
        <v>4</v>
      </c>
      <c r="O104" s="31" t="s">
        <v>48</v>
      </c>
      <c r="P104" s="31" t="s">
        <v>49</v>
      </c>
      <c r="Q104" s="31" t="s">
        <v>50</v>
      </c>
    </row>
    <row r="105" spans="2:19" ht="31.5">
      <c r="N105" s="19">
        <v>5</v>
      </c>
      <c r="O105" s="31" t="s">
        <v>51</v>
      </c>
      <c r="P105" s="31" t="s">
        <v>52</v>
      </c>
      <c r="Q105" s="31" t="s">
        <v>53</v>
      </c>
    </row>
    <row r="106" spans="2:19" ht="31.5">
      <c r="N106" s="19">
        <v>6</v>
      </c>
      <c r="O106" s="31" t="s">
        <v>54</v>
      </c>
      <c r="P106" s="31" t="s">
        <v>55</v>
      </c>
      <c r="Q106" s="31" t="s">
        <v>56</v>
      </c>
    </row>
    <row r="107" spans="2:19" ht="31.5">
      <c r="N107" s="19">
        <v>7</v>
      </c>
      <c r="O107" s="31" t="s">
        <v>57</v>
      </c>
      <c r="P107" s="31" t="s">
        <v>58</v>
      </c>
      <c r="Q107" s="31" t="s">
        <v>59</v>
      </c>
    </row>
    <row r="108" spans="2:19" ht="31.5">
      <c r="N108" s="19">
        <v>9</v>
      </c>
      <c r="O108" s="31" t="s">
        <v>60</v>
      </c>
      <c r="P108" s="31" t="s">
        <v>61</v>
      </c>
      <c r="Q108" s="31" t="s">
        <v>62</v>
      </c>
    </row>
    <row r="109" spans="2:19" ht="31.5">
      <c r="N109" s="19">
        <v>16</v>
      </c>
      <c r="O109" s="31" t="s">
        <v>63</v>
      </c>
      <c r="P109" s="31" t="s">
        <v>64</v>
      </c>
      <c r="Q109" s="31" t="s">
        <v>65</v>
      </c>
    </row>
    <row r="110" spans="2:19" ht="31.5">
      <c r="N110" s="19">
        <v>23</v>
      </c>
      <c r="O110" s="31" t="s">
        <v>66</v>
      </c>
      <c r="P110" s="31" t="s">
        <v>67</v>
      </c>
      <c r="Q110" s="31" t="s">
        <v>68</v>
      </c>
    </row>
    <row r="111" spans="2:19" ht="31.5">
      <c r="N111" s="19">
        <v>38</v>
      </c>
      <c r="O111" s="31" t="s">
        <v>69</v>
      </c>
      <c r="P111" s="31" t="s">
        <v>70</v>
      </c>
      <c r="Q111" s="31" t="s">
        <v>71</v>
      </c>
    </row>
    <row r="112" spans="2:19" ht="31.5">
      <c r="B112" s="16" t="s">
        <v>72</v>
      </c>
      <c r="N112" s="19">
        <v>60</v>
      </c>
      <c r="O112" s="31" t="s">
        <v>73</v>
      </c>
      <c r="P112" s="31" t="s">
        <v>74</v>
      </c>
      <c r="Q112" s="31" t="s">
        <v>75</v>
      </c>
    </row>
    <row r="113" spans="2:17" ht="31.5">
      <c r="B113" s="6" t="s">
        <v>7</v>
      </c>
      <c r="N113" s="19">
        <v>90</v>
      </c>
      <c r="O113" s="31" t="s">
        <v>73</v>
      </c>
      <c r="P113" s="31" t="s">
        <v>76</v>
      </c>
      <c r="Q113" s="31" t="s">
        <v>77</v>
      </c>
    </row>
    <row r="114" spans="2:17">
      <c r="B114" s="8">
        <v>8.3000000000000004E-2</v>
      </c>
    </row>
    <row r="115" spans="2:17">
      <c r="B115" s="8">
        <v>0.16700000000000001</v>
      </c>
    </row>
    <row r="116" spans="2:17">
      <c r="B116" s="8">
        <v>0.25</v>
      </c>
    </row>
    <row r="117" spans="2:17">
      <c r="B117" s="8">
        <v>1</v>
      </c>
    </row>
    <row r="118" spans="2:17">
      <c r="B118" s="8">
        <v>1.25</v>
      </c>
    </row>
    <row r="119" spans="2:17">
      <c r="B119" s="8">
        <v>4</v>
      </c>
    </row>
    <row r="120" spans="2:17">
      <c r="B120" s="8">
        <v>5</v>
      </c>
    </row>
    <row r="121" spans="2:17">
      <c r="B121" s="8">
        <v>6</v>
      </c>
    </row>
    <row r="122" spans="2:17">
      <c r="B122" s="8">
        <v>7</v>
      </c>
    </row>
    <row r="123" spans="2:17">
      <c r="B123" s="8">
        <v>9</v>
      </c>
    </row>
    <row r="124" spans="2:17">
      <c r="B124" s="8">
        <v>16</v>
      </c>
    </row>
    <row r="125" spans="2:17">
      <c r="B125" s="8">
        <v>23</v>
      </c>
    </row>
    <row r="126" spans="2:17">
      <c r="B126" s="8">
        <v>38</v>
      </c>
    </row>
  </sheetData>
  <mergeCells count="18">
    <mergeCell ref="C52:C56"/>
    <mergeCell ref="C57:C61"/>
    <mergeCell ref="C62:C66"/>
    <mergeCell ref="C27:C31"/>
    <mergeCell ref="C32:C36"/>
    <mergeCell ref="C37:C41"/>
    <mergeCell ref="C42:C46"/>
    <mergeCell ref="C47:C51"/>
    <mergeCell ref="C2:C6"/>
    <mergeCell ref="C7:C11"/>
    <mergeCell ref="C12:C16"/>
    <mergeCell ref="C17:C21"/>
    <mergeCell ref="C22:C26"/>
    <mergeCell ref="C67:C71"/>
    <mergeCell ref="C72:C76"/>
    <mergeCell ref="D80:F80"/>
    <mergeCell ref="G80:I80"/>
    <mergeCell ref="J80:L8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40BB8-46E4-45FF-B687-14172EE0AD9A}">
  <dimension ref="A15:A17"/>
  <sheetViews>
    <sheetView topLeftCell="B1" workbookViewId="0">
      <selection activeCell="C5" sqref="C5:U23"/>
    </sheetView>
  </sheetViews>
  <sheetFormatPr defaultColWidth="11.42578125" defaultRowHeight="15"/>
  <cols>
    <col min="3" max="3" width="16.28515625" bestFit="1" customWidth="1"/>
    <col min="4" max="4" width="7.85546875" bestFit="1" customWidth="1"/>
    <col min="5" max="5" width="21.28515625" bestFit="1" customWidth="1"/>
    <col min="6" max="8" width="9.85546875" bestFit="1" customWidth="1"/>
    <col min="9" max="11" width="9.28515625" bestFit="1" customWidth="1"/>
    <col min="12" max="13" width="16.28515625" bestFit="1" customWidth="1"/>
    <col min="14" max="14" width="7.85546875" bestFit="1" customWidth="1"/>
    <col min="15" max="15" width="21.28515625" bestFit="1" customWidth="1"/>
    <col min="16" max="16" width="9.140625" customWidth="1"/>
    <col min="17" max="17" width="9.140625" bestFit="1" customWidth="1"/>
    <col min="18" max="18" width="10.42578125" bestFit="1" customWidth="1"/>
    <col min="19" max="21" width="11" bestFit="1" customWidth="1"/>
  </cols>
  <sheetData>
    <row r="15" ht="14.45" customHeight="1"/>
    <row r="16" ht="14.45" customHeight="1"/>
    <row r="17" ht="14.45" customHeight="1"/>
  </sheetData>
  <phoneticPr fontId="2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1007-2BA6-43F5-A37B-9941FC0C1E64}">
  <dimension ref="A1"/>
  <sheetViews>
    <sheetView tabSelected="1" zoomScale="60" zoomScaleNormal="60" workbookViewId="0">
      <selection activeCell="D63" sqref="D63"/>
    </sheetView>
  </sheetViews>
  <sheetFormatPr defaultColWidth="11.42578125"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7A6BF-A08F-4343-A0FC-C2CD6077730A}">
  <dimension ref="B2:X18"/>
  <sheetViews>
    <sheetView workbookViewId="0">
      <selection activeCell="O17" sqref="O17"/>
    </sheetView>
  </sheetViews>
  <sheetFormatPr defaultColWidth="11.42578125" defaultRowHeight="15"/>
  <cols>
    <col min="2" max="2" width="8" bestFit="1" customWidth="1"/>
    <col min="3" max="4" width="12.28515625" customWidth="1"/>
    <col min="5" max="5" width="12.140625" customWidth="1"/>
    <col min="8" max="8" width="22.28515625" bestFit="1" customWidth="1"/>
  </cols>
  <sheetData>
    <row r="2" spans="2:24">
      <c r="B2" s="36" t="s">
        <v>78</v>
      </c>
      <c r="C2" s="37"/>
      <c r="D2" s="37"/>
      <c r="E2" s="38"/>
    </row>
    <row r="3" spans="2:24" ht="47.25">
      <c r="B3" s="27" t="s">
        <v>29</v>
      </c>
      <c r="C3" s="27" t="s">
        <v>2</v>
      </c>
      <c r="D3" s="27" t="s">
        <v>27</v>
      </c>
      <c r="E3" s="27" t="s">
        <v>28</v>
      </c>
      <c r="H3" s="39" t="s">
        <v>78</v>
      </c>
      <c r="I3" s="27" t="s">
        <v>29</v>
      </c>
      <c r="J3" s="28">
        <v>8.3000000000000004E-2</v>
      </c>
      <c r="K3" s="28">
        <v>0.16700000000000001</v>
      </c>
      <c r="L3" s="28">
        <v>0.25</v>
      </c>
      <c r="M3" s="28">
        <v>1</v>
      </c>
      <c r="N3" s="28">
        <v>1.25</v>
      </c>
      <c r="O3" s="28">
        <v>4</v>
      </c>
      <c r="P3" s="28">
        <v>5</v>
      </c>
      <c r="Q3" s="28">
        <v>6</v>
      </c>
      <c r="R3" s="28">
        <v>7</v>
      </c>
      <c r="S3" s="28">
        <v>9</v>
      </c>
      <c r="T3" s="28">
        <v>16</v>
      </c>
      <c r="U3" s="28">
        <v>23</v>
      </c>
      <c r="V3" s="28">
        <v>38</v>
      </c>
      <c r="W3" s="28">
        <v>60</v>
      </c>
      <c r="X3" s="28">
        <v>90</v>
      </c>
    </row>
    <row r="4" spans="2:24" ht="31.5">
      <c r="B4" s="28">
        <v>8.3000000000000004E-2</v>
      </c>
      <c r="C4" s="28" t="s">
        <v>32</v>
      </c>
      <c r="D4" s="28" t="s">
        <v>33</v>
      </c>
      <c r="E4" s="28" t="s">
        <v>34</v>
      </c>
      <c r="H4" s="39"/>
      <c r="I4" s="27" t="s">
        <v>2</v>
      </c>
      <c r="J4" s="28" t="s">
        <v>32</v>
      </c>
      <c r="K4" s="28" t="s">
        <v>35</v>
      </c>
      <c r="L4" s="28" t="s">
        <v>38</v>
      </c>
      <c r="M4" s="28" t="s">
        <v>41</v>
      </c>
      <c r="N4" s="28" t="s">
        <v>44</v>
      </c>
      <c r="O4" s="28" t="s">
        <v>48</v>
      </c>
      <c r="P4" s="28" t="s">
        <v>51</v>
      </c>
      <c r="Q4" s="28" t="s">
        <v>54</v>
      </c>
      <c r="R4" s="28" t="s">
        <v>57</v>
      </c>
      <c r="S4" s="28" t="s">
        <v>60</v>
      </c>
      <c r="T4" s="28" t="s">
        <v>63</v>
      </c>
      <c r="U4" s="28" t="s">
        <v>66</v>
      </c>
      <c r="V4" s="28" t="s">
        <v>69</v>
      </c>
      <c r="W4" s="28" t="s">
        <v>73</v>
      </c>
      <c r="X4" s="28" t="s">
        <v>73</v>
      </c>
    </row>
    <row r="5" spans="2:24" ht="31.5">
      <c r="B5" s="28">
        <v>0.16700000000000001</v>
      </c>
      <c r="C5" s="28" t="s">
        <v>35</v>
      </c>
      <c r="D5" s="28" t="s">
        <v>36</v>
      </c>
      <c r="E5" s="28" t="s">
        <v>37</v>
      </c>
      <c r="H5" s="39"/>
      <c r="I5" s="27" t="s">
        <v>27</v>
      </c>
      <c r="J5" s="28" t="s">
        <v>33</v>
      </c>
      <c r="K5" s="28" t="s">
        <v>36</v>
      </c>
      <c r="L5" s="28" t="s">
        <v>39</v>
      </c>
      <c r="M5" s="28" t="s">
        <v>42</v>
      </c>
      <c r="N5" s="28" t="s">
        <v>45</v>
      </c>
      <c r="O5" s="28" t="s">
        <v>49</v>
      </c>
      <c r="P5" s="28" t="s">
        <v>52</v>
      </c>
      <c r="Q5" s="28" t="s">
        <v>55</v>
      </c>
      <c r="R5" s="28" t="s">
        <v>58</v>
      </c>
      <c r="S5" s="28" t="s">
        <v>61</v>
      </c>
      <c r="T5" s="28" t="s">
        <v>64</v>
      </c>
      <c r="U5" s="28" t="s">
        <v>67</v>
      </c>
      <c r="V5" s="28" t="s">
        <v>70</v>
      </c>
      <c r="W5" s="28" t="s">
        <v>74</v>
      </c>
      <c r="X5" s="28" t="s">
        <v>76</v>
      </c>
    </row>
    <row r="6" spans="2:24" ht="31.5">
      <c r="B6" s="28">
        <v>0.25</v>
      </c>
      <c r="C6" s="28" t="s">
        <v>38</v>
      </c>
      <c r="D6" s="28" t="s">
        <v>39</v>
      </c>
      <c r="E6" s="28" t="s">
        <v>40</v>
      </c>
      <c r="H6" s="39"/>
      <c r="I6" s="27" t="s">
        <v>28</v>
      </c>
      <c r="J6" s="28" t="s">
        <v>34</v>
      </c>
      <c r="K6" s="28" t="s">
        <v>37</v>
      </c>
      <c r="L6" s="28" t="s">
        <v>40</v>
      </c>
      <c r="M6" s="28" t="s">
        <v>43</v>
      </c>
      <c r="N6" s="28" t="s">
        <v>46</v>
      </c>
      <c r="O6" s="28" t="s">
        <v>50</v>
      </c>
      <c r="P6" s="28" t="s">
        <v>53</v>
      </c>
      <c r="Q6" s="28" t="s">
        <v>56</v>
      </c>
      <c r="R6" s="28" t="s">
        <v>59</v>
      </c>
      <c r="S6" s="28" t="s">
        <v>62</v>
      </c>
      <c r="T6" s="28" t="s">
        <v>65</v>
      </c>
      <c r="U6" s="28" t="s">
        <v>68</v>
      </c>
      <c r="V6" s="28" t="s">
        <v>71</v>
      </c>
      <c r="W6" s="28" t="s">
        <v>75</v>
      </c>
      <c r="X6" s="28" t="s">
        <v>77</v>
      </c>
    </row>
    <row r="7" spans="2:24" ht="31.5">
      <c r="B7" s="28">
        <v>1</v>
      </c>
      <c r="C7" s="28" t="s">
        <v>41</v>
      </c>
      <c r="D7" s="28" t="s">
        <v>42</v>
      </c>
      <c r="E7" s="28" t="s">
        <v>43</v>
      </c>
    </row>
    <row r="8" spans="2:24" ht="31.5">
      <c r="B8" s="28">
        <v>1.25</v>
      </c>
      <c r="C8" s="28" t="s">
        <v>44</v>
      </c>
      <c r="D8" s="28" t="s">
        <v>45</v>
      </c>
      <c r="E8" s="28" t="s">
        <v>46</v>
      </c>
    </row>
    <row r="9" spans="2:24" ht="31.5">
      <c r="B9" s="28">
        <v>4</v>
      </c>
      <c r="C9" s="28" t="s">
        <v>48</v>
      </c>
      <c r="D9" s="28" t="s">
        <v>49</v>
      </c>
      <c r="E9" s="28" t="s">
        <v>50</v>
      </c>
    </row>
    <row r="10" spans="2:24" ht="31.5">
      <c r="B10" s="28">
        <v>5</v>
      </c>
      <c r="C10" s="28" t="s">
        <v>51</v>
      </c>
      <c r="D10" s="28" t="s">
        <v>52</v>
      </c>
      <c r="E10" s="28" t="s">
        <v>53</v>
      </c>
    </row>
    <row r="11" spans="2:24" ht="31.5">
      <c r="B11" s="28">
        <v>6</v>
      </c>
      <c r="C11" s="28" t="s">
        <v>54</v>
      </c>
      <c r="D11" s="28" t="s">
        <v>55</v>
      </c>
      <c r="E11" s="28" t="s">
        <v>56</v>
      </c>
    </row>
    <row r="12" spans="2:24" ht="31.5">
      <c r="B12" s="28">
        <v>7</v>
      </c>
      <c r="C12" s="28" t="s">
        <v>57</v>
      </c>
      <c r="D12" s="28" t="s">
        <v>58</v>
      </c>
      <c r="E12" s="28" t="s">
        <v>59</v>
      </c>
    </row>
    <row r="13" spans="2:24" ht="31.5">
      <c r="B13" s="28">
        <v>9</v>
      </c>
      <c r="C13" s="28" t="s">
        <v>60</v>
      </c>
      <c r="D13" s="28" t="s">
        <v>61</v>
      </c>
      <c r="E13" s="28" t="s">
        <v>62</v>
      </c>
    </row>
    <row r="14" spans="2:24" ht="31.5">
      <c r="B14" s="28">
        <v>16</v>
      </c>
      <c r="C14" s="28" t="s">
        <v>63</v>
      </c>
      <c r="D14" s="28" t="s">
        <v>64</v>
      </c>
      <c r="E14" s="28" t="s">
        <v>65</v>
      </c>
    </row>
    <row r="15" spans="2:24" ht="31.5">
      <c r="B15" s="28">
        <v>23</v>
      </c>
      <c r="C15" s="28" t="s">
        <v>66</v>
      </c>
      <c r="D15" s="28" t="s">
        <v>67</v>
      </c>
      <c r="E15" s="28" t="s">
        <v>68</v>
      </c>
    </row>
    <row r="16" spans="2:24" ht="31.5">
      <c r="B16" s="28">
        <v>38</v>
      </c>
      <c r="C16" s="28" t="s">
        <v>69</v>
      </c>
      <c r="D16" s="28" t="s">
        <v>70</v>
      </c>
      <c r="E16" s="28" t="s">
        <v>71</v>
      </c>
    </row>
    <row r="17" spans="2:5" ht="31.5">
      <c r="B17" s="28">
        <v>60</v>
      </c>
      <c r="C17" s="28" t="s">
        <v>73</v>
      </c>
      <c r="D17" s="28" t="s">
        <v>74</v>
      </c>
      <c r="E17" s="28" t="s">
        <v>75</v>
      </c>
    </row>
    <row r="18" spans="2:5" ht="31.5">
      <c r="B18" s="28">
        <v>90</v>
      </c>
      <c r="C18" s="28" t="s">
        <v>73</v>
      </c>
      <c r="D18" s="28" t="s">
        <v>76</v>
      </c>
      <c r="E18" s="28" t="s">
        <v>77</v>
      </c>
    </row>
  </sheetData>
  <mergeCells count="2">
    <mergeCell ref="B2:E2"/>
    <mergeCell ref="H3:H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83BF6FB3AD2E4A9966EA68804F556A" ma:contentTypeVersion="15" ma:contentTypeDescription="Crear nuevo documento." ma:contentTypeScope="" ma:versionID="32a10d2700b403b45ee3bf57c963b4c3">
  <xsd:schema xmlns:xsd="http://www.w3.org/2001/XMLSchema" xmlns:xs="http://www.w3.org/2001/XMLSchema" xmlns:p="http://schemas.microsoft.com/office/2006/metadata/properties" xmlns:ns2="4eec2c11-2186-493d-bfb4-71859403b085" xmlns:ns3="bd5e7e54-02cd-4fc4-b64f-aaf88b7f83d8" targetNamespace="http://schemas.microsoft.com/office/2006/metadata/properties" ma:root="true" ma:fieldsID="fb20c1575cb7203975b1e78497165df2" ns2:_="" ns3:_="">
    <xsd:import namespace="4eec2c11-2186-493d-bfb4-71859403b085"/>
    <xsd:import namespace="bd5e7e54-02cd-4fc4-b64f-aaf88b7f8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ec2c11-2186-493d-bfb4-71859403b0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34f481d7-6d80-4a70-849b-5044a7a5be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e7e54-02cd-4fc4-b64f-aaf88b7f83d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ec2c11-2186-493d-bfb4-71859403b08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0D687C-3FF8-463A-A755-134FBAAD1745}"/>
</file>

<file path=customXml/itemProps2.xml><?xml version="1.0" encoding="utf-8"?>
<ds:datastoreItem xmlns:ds="http://schemas.openxmlformats.org/officeDocument/2006/customXml" ds:itemID="{651D268E-1D4B-44BA-BBB5-91A4F1B16ACB}"/>
</file>

<file path=customXml/itemProps3.xml><?xml version="1.0" encoding="utf-8"?>
<ds:datastoreItem xmlns:ds="http://schemas.openxmlformats.org/officeDocument/2006/customXml" ds:itemID="{4FAE2819-6678-4B5A-9AEA-9BBE017F4D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Melo</dc:creator>
  <cp:keywords/>
  <dc:description/>
  <cp:lastModifiedBy/>
  <cp:revision/>
  <dcterms:created xsi:type="dcterms:W3CDTF">2025-06-12T20:04:15Z</dcterms:created>
  <dcterms:modified xsi:type="dcterms:W3CDTF">2026-01-20T14:21:56Z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0x0101007083BF6FB3AD2E4A9966EA68804F556A</vt:lpwstr>
  </property>
  <property fmtid="{D5CDD505-2E9C-101B-9397-08002B2CF9AE}" pid="3" name="MediaServiceImageTags">
    <vt:lpwstr/>
  </property>
</Properties>
</file>